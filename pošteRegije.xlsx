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ilj-my.sharepoint.com/personal/gregor_jurak_fsp_uni-lj_si/Documents/GREGOR/FŠ/PROJEKTI/SLOfit/razvoj SLOFIT/spletišče SLOfit/Pot_v_odraslost/ReportOKS/"/>
    </mc:Choice>
  </mc:AlternateContent>
  <xr:revisionPtr revIDLastSave="90" documentId="8_{DB67F115-69C4-498F-AD3E-19A7D0A5F338}" xr6:coauthVersionLast="47" xr6:coauthVersionMax="47" xr10:uidLastSave="{B4DD3C4B-51A4-47FF-9B0E-EBAB45E1D121}"/>
  <bookViews>
    <workbookView xWindow="-108" yWindow="-108" windowWidth="23256" windowHeight="12456" xr2:uid="{8F13620D-0B35-4D77-9205-B40C0C733A79}"/>
  </bookViews>
  <sheets>
    <sheet name="Pošte" sheetId="1" r:id="rId1"/>
    <sheet name="Regije" sheetId="2" r:id="rId2"/>
    <sheet name="regije_občine 212" sheetId="3" r:id="rId3"/>
  </sheets>
  <definedNames>
    <definedName name="_xlnm._FilterDatabase" localSheetId="2" hidden="1">'regije_občine 212'!$A$3:$D$214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I2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2" i="1"/>
  <c r="E284" i="1"/>
  <c r="E290" i="1"/>
  <c r="E285" i="1"/>
  <c r="E286" i="1"/>
  <c r="E287" i="1"/>
  <c r="E278" i="1"/>
  <c r="E266" i="1"/>
  <c r="E263" i="1"/>
  <c r="E259" i="1"/>
  <c r="E260" i="1"/>
  <c r="E271" i="1"/>
  <c r="E296" i="1"/>
  <c r="E293" i="1"/>
  <c r="E289" i="1"/>
  <c r="E281" i="1"/>
  <c r="E255" i="1"/>
  <c r="E256" i="1"/>
  <c r="E294" i="1"/>
  <c r="E299" i="1"/>
  <c r="E280" i="1"/>
  <c r="E283" i="1"/>
  <c r="E267" i="1"/>
  <c r="E295" i="1"/>
  <c r="E258" i="1"/>
  <c r="E279" i="1"/>
  <c r="E270" i="1"/>
  <c r="E261" i="1"/>
  <c r="E277" i="1"/>
  <c r="E297" i="1"/>
  <c r="E274" i="1"/>
  <c r="E276" i="1"/>
  <c r="E272" i="1"/>
  <c r="E288" i="1"/>
  <c r="E264" i="1"/>
  <c r="E269" i="1"/>
  <c r="E298" i="1"/>
  <c r="E268" i="1"/>
  <c r="E257" i="1"/>
  <c r="E282" i="1"/>
  <c r="E262" i="1"/>
  <c r="E265" i="1"/>
  <c r="E275" i="1"/>
  <c r="E273" i="1"/>
  <c r="E291" i="1"/>
  <c r="E325" i="1"/>
  <c r="E313" i="1"/>
  <c r="E340" i="1"/>
  <c r="E311" i="1"/>
  <c r="E333" i="1"/>
  <c r="E328" i="1"/>
  <c r="E321" i="1"/>
  <c r="E329" i="1"/>
  <c r="E323" i="1"/>
  <c r="E302" i="1"/>
  <c r="E324" i="1"/>
  <c r="E304" i="1"/>
  <c r="E339" i="1"/>
  <c r="E330" i="1"/>
  <c r="E316" i="1"/>
  <c r="E319" i="1"/>
  <c r="E331" i="1"/>
  <c r="E306" i="1"/>
  <c r="E305" i="1"/>
  <c r="E310" i="1"/>
  <c r="E303" i="1"/>
  <c r="E341" i="1"/>
  <c r="E314" i="1"/>
  <c r="E336" i="1"/>
  <c r="E308" i="1"/>
  <c r="E300" i="1"/>
  <c r="E301" i="1"/>
  <c r="E317" i="1"/>
  <c r="E327" i="1"/>
  <c r="E342" i="1"/>
  <c r="E337" i="1"/>
  <c r="E307" i="1"/>
  <c r="E334" i="1"/>
  <c r="E315" i="1"/>
  <c r="E318" i="1"/>
  <c r="E332" i="1"/>
  <c r="E312" i="1"/>
  <c r="E322" i="1"/>
  <c r="E335" i="1"/>
  <c r="E309" i="1"/>
  <c r="E320" i="1"/>
  <c r="E326" i="1"/>
  <c r="E338" i="1"/>
  <c r="E434" i="1"/>
  <c r="E426" i="1"/>
  <c r="E411" i="1"/>
  <c r="E433" i="1"/>
  <c r="E384" i="1"/>
  <c r="E57" i="1"/>
  <c r="E438" i="1"/>
  <c r="E55" i="1"/>
  <c r="E436" i="1"/>
  <c r="E441" i="1"/>
  <c r="E431" i="1"/>
  <c r="E442" i="1"/>
  <c r="E56" i="1"/>
  <c r="E61" i="1"/>
  <c r="E424" i="1"/>
  <c r="E59" i="1"/>
  <c r="E54" i="1"/>
  <c r="E429" i="1"/>
  <c r="E393" i="1"/>
  <c r="E387" i="1"/>
  <c r="E390" i="1"/>
  <c r="E381" i="1"/>
  <c r="E382" i="1"/>
  <c r="E52" i="1"/>
  <c r="E60" i="1"/>
  <c r="E389" i="1"/>
  <c r="E425" i="1"/>
  <c r="E46" i="1"/>
  <c r="E432" i="1"/>
  <c r="E53" i="1"/>
  <c r="E58" i="1"/>
  <c r="E435" i="1"/>
  <c r="E427" i="1"/>
  <c r="E439" i="1"/>
  <c r="E430" i="1"/>
  <c r="E423" i="1"/>
  <c r="E229" i="1"/>
  <c r="E392" i="1"/>
  <c r="E410" i="1"/>
  <c r="E388" i="1"/>
  <c r="E391" i="1"/>
  <c r="E383" i="1"/>
  <c r="E428" i="1"/>
  <c r="E385" i="1"/>
  <c r="E386" i="1"/>
  <c r="E437" i="1"/>
  <c r="E440" i="1"/>
  <c r="E188" i="1"/>
  <c r="E177" i="1"/>
  <c r="E189" i="1"/>
  <c r="E179" i="1"/>
  <c r="E187" i="1"/>
  <c r="E183" i="1"/>
  <c r="E175" i="1"/>
  <c r="E182" i="1"/>
  <c r="E172" i="1"/>
  <c r="E186" i="1"/>
  <c r="E169" i="1"/>
  <c r="E185" i="1"/>
  <c r="E173" i="1"/>
  <c r="E181" i="1"/>
  <c r="E180" i="1"/>
  <c r="E184" i="1"/>
  <c r="E178" i="1"/>
  <c r="E174" i="1"/>
  <c r="E176" i="1"/>
  <c r="E375" i="1"/>
  <c r="E373" i="1"/>
  <c r="E369" i="1"/>
  <c r="E346" i="1"/>
  <c r="E350" i="1"/>
  <c r="E370" i="1"/>
  <c r="E377" i="1"/>
  <c r="E352" i="1"/>
  <c r="E343" i="1"/>
  <c r="E344" i="1"/>
  <c r="E357" i="1"/>
  <c r="E349" i="1"/>
  <c r="E371" i="1"/>
  <c r="E358" i="1"/>
  <c r="E359" i="1"/>
  <c r="E379" i="1"/>
  <c r="E374" i="1"/>
  <c r="E347" i="1"/>
  <c r="E360" i="1"/>
  <c r="E378" i="1"/>
  <c r="E380" i="1"/>
  <c r="E353" i="1"/>
  <c r="E345" i="1"/>
  <c r="E376" i="1"/>
  <c r="E372" i="1"/>
  <c r="E351" i="1"/>
  <c r="E348" i="1"/>
  <c r="E14" i="1"/>
  <c r="E64" i="1"/>
  <c r="E62" i="1"/>
  <c r="E18" i="1"/>
  <c r="E67" i="1"/>
  <c r="E28" i="1"/>
  <c r="E31" i="1"/>
  <c r="E16" i="1"/>
  <c r="E32" i="1"/>
  <c r="E37" i="1"/>
  <c r="E65" i="1"/>
  <c r="E72" i="1"/>
  <c r="E39" i="1"/>
  <c r="E42" i="1"/>
  <c r="E22" i="1"/>
  <c r="E10" i="1"/>
  <c r="E35" i="1"/>
  <c r="E44" i="1"/>
  <c r="E11" i="1"/>
  <c r="E29" i="1"/>
  <c r="E2" i="1"/>
  <c r="E3" i="1"/>
  <c r="E17" i="1"/>
  <c r="E27" i="1"/>
  <c r="E26" i="1"/>
  <c r="E4" i="1"/>
  <c r="E5" i="1"/>
  <c r="E6" i="1"/>
  <c r="E69" i="1"/>
  <c r="E71" i="1"/>
  <c r="E15" i="1"/>
  <c r="E7" i="1"/>
  <c r="E19" i="1"/>
  <c r="E24" i="1"/>
  <c r="E12" i="1"/>
  <c r="E68" i="1"/>
  <c r="E66" i="1"/>
  <c r="E30" i="1"/>
  <c r="E63" i="1"/>
  <c r="E34" i="1"/>
  <c r="E20" i="1"/>
  <c r="E50" i="1"/>
  <c r="E73" i="1"/>
  <c r="E36" i="1"/>
  <c r="E8" i="1"/>
  <c r="E23" i="1"/>
  <c r="E49" i="1"/>
  <c r="E43" i="1"/>
  <c r="E38" i="1"/>
  <c r="E40" i="1"/>
  <c r="E33" i="1"/>
  <c r="E13" i="1"/>
  <c r="E21" i="1"/>
  <c r="E47" i="1"/>
  <c r="E25" i="1"/>
  <c r="E51" i="1"/>
  <c r="E48" i="1"/>
  <c r="E41" i="1"/>
  <c r="E9" i="1"/>
  <c r="E70" i="1"/>
  <c r="E45" i="1"/>
  <c r="E112" i="1"/>
  <c r="E164" i="1"/>
  <c r="E168" i="1"/>
  <c r="E114" i="1"/>
  <c r="E103" i="1"/>
  <c r="E157" i="1"/>
  <c r="E134" i="1"/>
  <c r="E119" i="1"/>
  <c r="E118" i="1"/>
  <c r="E162" i="1"/>
  <c r="E145" i="1"/>
  <c r="E127" i="1"/>
  <c r="E140" i="1"/>
  <c r="E143" i="1"/>
  <c r="E125" i="1"/>
  <c r="E105" i="1"/>
  <c r="E104" i="1"/>
  <c r="E106" i="1"/>
  <c r="E122" i="1"/>
  <c r="E165" i="1"/>
  <c r="E171" i="1"/>
  <c r="E156" i="1"/>
  <c r="E131" i="1"/>
  <c r="E150" i="1"/>
  <c r="E108" i="1"/>
  <c r="E160" i="1"/>
  <c r="E155" i="1"/>
  <c r="E163" i="1"/>
  <c r="E153" i="1"/>
  <c r="E152" i="1"/>
  <c r="E107" i="1"/>
  <c r="E92" i="1"/>
  <c r="E93" i="1"/>
  <c r="E97" i="1"/>
  <c r="E133" i="1"/>
  <c r="E95" i="1"/>
  <c r="E130" i="1"/>
  <c r="E149" i="1"/>
  <c r="E144" i="1"/>
  <c r="E126" i="1"/>
  <c r="E170" i="1"/>
  <c r="E109" i="1"/>
  <c r="E99" i="1"/>
  <c r="E128" i="1"/>
  <c r="E138" i="1"/>
  <c r="E98" i="1"/>
  <c r="E123" i="1"/>
  <c r="E151" i="1"/>
  <c r="E159" i="1"/>
  <c r="E117" i="1"/>
  <c r="E154" i="1"/>
  <c r="E158" i="1"/>
  <c r="E161" i="1"/>
  <c r="E166" i="1"/>
  <c r="E102" i="1"/>
  <c r="E142" i="1"/>
  <c r="E115" i="1"/>
  <c r="E132" i="1"/>
  <c r="E96" i="1"/>
  <c r="E141" i="1"/>
  <c r="E167" i="1"/>
  <c r="E111" i="1"/>
  <c r="E113" i="1"/>
  <c r="E124" i="1"/>
  <c r="E100" i="1"/>
  <c r="E147" i="1"/>
  <c r="E120" i="1"/>
  <c r="E129" i="1"/>
  <c r="E136" i="1"/>
  <c r="E121" i="1"/>
  <c r="E110" i="1"/>
  <c r="E135" i="1"/>
  <c r="E116" i="1"/>
  <c r="E94" i="1"/>
  <c r="E148" i="1"/>
  <c r="E146" i="1"/>
  <c r="E101" i="1"/>
  <c r="E137" i="1"/>
  <c r="E139" i="1"/>
  <c r="E474" i="1"/>
  <c r="E461" i="1"/>
  <c r="E479" i="1"/>
  <c r="E455" i="1"/>
  <c r="E475" i="1"/>
  <c r="E462" i="1"/>
  <c r="E456" i="1"/>
  <c r="E452" i="1"/>
  <c r="E471" i="1"/>
  <c r="E478" i="1"/>
  <c r="E449" i="1"/>
  <c r="E460" i="1"/>
  <c r="E450" i="1"/>
  <c r="E466" i="1"/>
  <c r="E477" i="1"/>
  <c r="E453" i="1"/>
  <c r="E464" i="1"/>
  <c r="E446" i="1"/>
  <c r="E467" i="1"/>
  <c r="E454" i="1"/>
  <c r="E459" i="1"/>
  <c r="E443" i="1"/>
  <c r="E444" i="1"/>
  <c r="E463" i="1"/>
  <c r="E447" i="1"/>
  <c r="E451" i="1"/>
  <c r="E445" i="1"/>
  <c r="E473" i="1"/>
  <c r="E470" i="1"/>
  <c r="E476" i="1"/>
  <c r="E469" i="1"/>
  <c r="E468" i="1"/>
  <c r="E448" i="1"/>
  <c r="E472" i="1"/>
  <c r="E457" i="1"/>
  <c r="E458" i="1"/>
  <c r="E465" i="1"/>
  <c r="E396" i="1"/>
  <c r="E402" i="1"/>
  <c r="E415" i="1"/>
  <c r="E419" i="1"/>
  <c r="E412" i="1"/>
  <c r="E394" i="1"/>
  <c r="E405" i="1"/>
  <c r="E395" i="1"/>
  <c r="E400" i="1"/>
  <c r="E397" i="1"/>
  <c r="E403" i="1"/>
  <c r="E401" i="1"/>
  <c r="E414" i="1"/>
  <c r="E421" i="1"/>
  <c r="E404" i="1"/>
  <c r="E406" i="1"/>
  <c r="E408" i="1"/>
  <c r="E91" i="1"/>
  <c r="E398" i="1"/>
  <c r="E90" i="1"/>
  <c r="E409" i="1"/>
  <c r="E413" i="1"/>
  <c r="E416" i="1"/>
  <c r="E399" i="1"/>
  <c r="E418" i="1"/>
  <c r="E422" i="1"/>
  <c r="E420" i="1"/>
  <c r="E417" i="1"/>
  <c r="E407" i="1"/>
  <c r="E89" i="1"/>
  <c r="E76" i="1"/>
  <c r="E74" i="1"/>
  <c r="E77" i="1"/>
  <c r="E354" i="1"/>
  <c r="E361" i="1"/>
  <c r="E362" i="1"/>
  <c r="E364" i="1"/>
  <c r="E363" i="1"/>
  <c r="E366" i="1"/>
  <c r="E78" i="1"/>
  <c r="E367" i="1"/>
  <c r="E356" i="1"/>
  <c r="E355" i="1"/>
  <c r="E365" i="1"/>
  <c r="E368" i="1"/>
  <c r="E75" i="1"/>
  <c r="E79" i="1"/>
  <c r="E221" i="1"/>
  <c r="E241" i="1"/>
  <c r="E220" i="1"/>
  <c r="E190" i="1"/>
  <c r="E191" i="1"/>
  <c r="E208" i="1"/>
  <c r="E195" i="1"/>
  <c r="E206" i="1"/>
  <c r="E201" i="1"/>
  <c r="E234" i="1"/>
  <c r="E226" i="1"/>
  <c r="E254" i="1"/>
  <c r="E233" i="1"/>
  <c r="E211" i="1"/>
  <c r="E231" i="1"/>
  <c r="E213" i="1"/>
  <c r="E223" i="1"/>
  <c r="E228" i="1"/>
  <c r="E224" i="1"/>
  <c r="E193" i="1"/>
  <c r="E250" i="1"/>
  <c r="E203" i="1"/>
  <c r="E207" i="1"/>
  <c r="E251" i="1"/>
  <c r="E247" i="1"/>
  <c r="E248" i="1"/>
  <c r="E194" i="1"/>
  <c r="E232" i="1"/>
  <c r="E209" i="1"/>
  <c r="E219" i="1"/>
  <c r="E215" i="1"/>
  <c r="E222" i="1"/>
  <c r="E240" i="1"/>
  <c r="E212" i="1"/>
  <c r="E239" i="1"/>
  <c r="E225" i="1"/>
  <c r="E218" i="1"/>
  <c r="E249" i="1"/>
  <c r="E230" i="1"/>
  <c r="E216" i="1"/>
  <c r="E217" i="1"/>
  <c r="E198" i="1"/>
  <c r="E252" i="1"/>
  <c r="E197" i="1"/>
  <c r="E227" i="1"/>
  <c r="E238" i="1"/>
  <c r="E210" i="1"/>
  <c r="E199" i="1"/>
  <c r="E214" i="1"/>
  <c r="E253" i="1"/>
  <c r="E246" i="1"/>
  <c r="E192" i="1"/>
  <c r="E244" i="1"/>
  <c r="E204" i="1"/>
  <c r="E235" i="1"/>
  <c r="E205" i="1"/>
  <c r="E245" i="1"/>
  <c r="E242" i="1"/>
  <c r="E243" i="1"/>
  <c r="E196" i="1"/>
  <c r="E200" i="1"/>
  <c r="E236" i="1"/>
  <c r="E202" i="1"/>
  <c r="E237" i="1"/>
  <c r="E484" i="1"/>
  <c r="E480" i="1"/>
  <c r="E481" i="1"/>
  <c r="E482" i="1"/>
  <c r="E483" i="1"/>
  <c r="E83" i="1"/>
  <c r="E86" i="1"/>
  <c r="E88" i="1"/>
  <c r="E87" i="1"/>
  <c r="E81" i="1"/>
  <c r="E82" i="1"/>
  <c r="E84" i="1"/>
  <c r="E85" i="1"/>
  <c r="E80" i="1"/>
  <c r="E29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tc={27CA99E9-B9D0-4DB6-9B7E-D9517DFCF062}</author>
    <author>tc={CB83F0C1-148B-4BC0-9ED7-2C075DB2F431}</author>
  </authors>
  <commentList>
    <comment ref="A1" authorId="0" shapeId="0" xr:uid="{27CA99E9-B9D0-4DB6-9B7E-D9517DFCF062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TABLE_NAME FROM INFORMATION_SCHEMA.TABLES where TABLE_NAME like '%regi%'  --WHERE TABLE_TYPE='BASE TABLE'
select top 945 * from FitnessMapStates --212 občin
select top 45 * from FitnessMapRegions --12 regij
select top 945 * from FitnessMapStateInRegion --212 povezav
select top 945 * from PostalCodes -- 483 pošte</t>
      </text>
    </comment>
    <comment ref="H1" authorId="1" shapeId="0" xr:uid="{CB83F0C1-148B-4BC0-9ED7-2C075DB2F431}">
      <text>
        <t>[Threaded comment]
Your version of Excel allows you to read this threaded comment; however, any edits to it will get removed if the file is opened in a newer version of Excel. Learn more: https://go.microsoft.com/fwlink/?linkid=870924
Comment:
    =IFNA(XLOOKUP(C2,'regije_občine 212'!$D$4:$D$215,'regije_občine 212'!$D$4:$D$215),"")</t>
      </text>
    </comment>
  </commentList>
</comments>
</file>

<file path=xl/sharedStrings.xml><?xml version="1.0" encoding="utf-8"?>
<sst xmlns="http://schemas.openxmlformats.org/spreadsheetml/2006/main" count="1716" uniqueCount="652">
  <si>
    <t>ID</t>
  </si>
  <si>
    <t>Code</t>
  </si>
  <si>
    <t>Name</t>
  </si>
  <si>
    <t>Regija</t>
  </si>
  <si>
    <t>Regija.id</t>
  </si>
  <si>
    <t>Begunje na Gorenjskem</t>
  </si>
  <si>
    <t>Gorenjska</t>
  </si>
  <si>
    <t>Bled</t>
  </si>
  <si>
    <t>Blejska Dobrava</t>
  </si>
  <si>
    <t>Bohinjska Bela</t>
  </si>
  <si>
    <t>Bohinjska Bistrica</t>
  </si>
  <si>
    <t>Bohinjsko jezero</t>
  </si>
  <si>
    <t>Brezje</t>
  </si>
  <si>
    <t>Brnik - aerodrom</t>
  </si>
  <si>
    <t>Cerklje na Gorenjskem</t>
  </si>
  <si>
    <t>Duplje</t>
  </si>
  <si>
    <t>Golnik</t>
  </si>
  <si>
    <t>Gorenja vas</t>
  </si>
  <si>
    <t>Gozd Martuljek</t>
  </si>
  <si>
    <t>Hrušica</t>
  </si>
  <si>
    <t>Jesenice</t>
  </si>
  <si>
    <t>Kamna Gorica</t>
  </si>
  <si>
    <t>Kranj</t>
  </si>
  <si>
    <t>Kranj - poštni predali</t>
  </si>
  <si>
    <t>Kranjska Gora</t>
  </si>
  <si>
    <t>Križe</t>
  </si>
  <si>
    <t>Kropa</t>
  </si>
  <si>
    <t>Lesce</t>
  </si>
  <si>
    <t>Mavčiče</t>
  </si>
  <si>
    <t>Mojstrana</t>
  </si>
  <si>
    <t>Naklo</t>
  </si>
  <si>
    <t>Podnart</t>
  </si>
  <si>
    <t>Poljane nad Škofjo Loko</t>
  </si>
  <si>
    <t>Preddvor</t>
  </si>
  <si>
    <t>Radovljica</t>
  </si>
  <si>
    <t>Rateče - Planica</t>
  </si>
  <si>
    <t>Selca</t>
  </si>
  <si>
    <t>Sorica</t>
  </si>
  <si>
    <t>Sovodenj</t>
  </si>
  <si>
    <t>Srednja vas v Bohinju</t>
  </si>
  <si>
    <t>Šenčur</t>
  </si>
  <si>
    <t>Škofja Loka</t>
  </si>
  <si>
    <t>Tržič</t>
  </si>
  <si>
    <t>Visoko</t>
  </si>
  <si>
    <t>Zgornja Besnica</t>
  </si>
  <si>
    <t>Zgornje Gorje</t>
  </si>
  <si>
    <t>Zgornje Jezersko</t>
  </si>
  <si>
    <t>Žabnica</t>
  </si>
  <si>
    <t>Železniki</t>
  </si>
  <si>
    <t>Žiri</t>
  </si>
  <si>
    <t>Žirovnica</t>
  </si>
  <si>
    <t>Ajdovščina</t>
  </si>
  <si>
    <t>Goriška</t>
  </si>
  <si>
    <t>Bovec</t>
  </si>
  <si>
    <t>Branik</t>
  </si>
  <si>
    <t>Breginj</t>
  </si>
  <si>
    <t>Cerkno</t>
  </si>
  <si>
    <t>Col</t>
  </si>
  <si>
    <t>Čepovan</t>
  </si>
  <si>
    <t>Črni Vrh nad Idrijo</t>
  </si>
  <si>
    <t>Črniče</t>
  </si>
  <si>
    <t>Deskle</t>
  </si>
  <si>
    <t>Dobravlje</t>
  </si>
  <si>
    <t>Dobrovo v Brdih</t>
  </si>
  <si>
    <t>Dornberk</t>
  </si>
  <si>
    <t>Godovič</t>
  </si>
  <si>
    <t>Grahovo ob Bači</t>
  </si>
  <si>
    <t>Grgar</t>
  </si>
  <si>
    <t>Idrija</t>
  </si>
  <si>
    <t>Kal nad Kanalom</t>
  </si>
  <si>
    <t>Kanal</t>
  </si>
  <si>
    <t>Kobarid</t>
  </si>
  <si>
    <t>Kojsko</t>
  </si>
  <si>
    <t>Kostanjevica na Krasu</t>
  </si>
  <si>
    <t>Log pod Mangartom</t>
  </si>
  <si>
    <t>Miren</t>
  </si>
  <si>
    <t>Most na Soči</t>
  </si>
  <si>
    <t>Nova Gorica</t>
  </si>
  <si>
    <t>Nova Gorica - poštni predali</t>
  </si>
  <si>
    <t>Podbrdo</t>
  </si>
  <si>
    <t>Podnanos</t>
  </si>
  <si>
    <t>Prvačina</t>
  </si>
  <si>
    <t>Renče</t>
  </si>
  <si>
    <t>Ročinj</t>
  </si>
  <si>
    <t>Slap ob Idrijci</t>
  </si>
  <si>
    <t>Soča</t>
  </si>
  <si>
    <t>Solkan</t>
  </si>
  <si>
    <t>Spodnja Idrija</t>
  </si>
  <si>
    <t>Srpenica</t>
  </si>
  <si>
    <t>Šempas</t>
  </si>
  <si>
    <t>Šempeter pri Gorici</t>
  </si>
  <si>
    <t>Tolmin</t>
  </si>
  <si>
    <t>Trnovo pri Gorici</t>
  </si>
  <si>
    <t>Vipava</t>
  </si>
  <si>
    <t>Volčja Draga</t>
  </si>
  <si>
    <t>Adlešiči</t>
  </si>
  <si>
    <t>Jugovzhodna Slovenija</t>
  </si>
  <si>
    <t>Brusnice</t>
  </si>
  <si>
    <t>Bučka</t>
  </si>
  <si>
    <t>Črnomelj</t>
  </si>
  <si>
    <t>Dobrnič</t>
  </si>
  <si>
    <t>Dolenja vas</t>
  </si>
  <si>
    <t>Dolenjske Toplice</t>
  </si>
  <si>
    <t>Draga</t>
  </si>
  <si>
    <t>Dragatuš</t>
  </si>
  <si>
    <t>Dvor</t>
  </si>
  <si>
    <t>Gradac</t>
  </si>
  <si>
    <t>Hinje</t>
  </si>
  <si>
    <t>Kočevje</t>
  </si>
  <si>
    <t>Kočevska Reka</t>
  </si>
  <si>
    <t>Kostanjevica na Krki</t>
  </si>
  <si>
    <t>Kostel</t>
  </si>
  <si>
    <t>Loški Potok</t>
  </si>
  <si>
    <t>Metlika</t>
  </si>
  <si>
    <t>Mirna</t>
  </si>
  <si>
    <t>Mirna Peč</t>
  </si>
  <si>
    <t>Mokronog</t>
  </si>
  <si>
    <t>Novo mesto</t>
  </si>
  <si>
    <t>Novo mesto - poštni predali</t>
  </si>
  <si>
    <t>Ortnek</t>
  </si>
  <si>
    <t>Osilnica</t>
  </si>
  <si>
    <t>Otočec</t>
  </si>
  <si>
    <t>Podbočje</t>
  </si>
  <si>
    <t>Ribnica</t>
  </si>
  <si>
    <t>Semič</t>
  </si>
  <si>
    <t>Sodražica</t>
  </si>
  <si>
    <t>Stara Cerkev</t>
  </si>
  <si>
    <t>Stari trg ob Kolpi</t>
  </si>
  <si>
    <t>Stopiče</t>
  </si>
  <si>
    <t>Straža</t>
  </si>
  <si>
    <t>Suhor</t>
  </si>
  <si>
    <t>Šentjernej</t>
  </si>
  <si>
    <t>Šentrupert</t>
  </si>
  <si>
    <t>Škocjan</t>
  </si>
  <si>
    <t>Šmarješke Toplice</t>
  </si>
  <si>
    <t>Trebelno</t>
  </si>
  <si>
    <t>Trebnje</t>
  </si>
  <si>
    <t>Uršna sela</t>
  </si>
  <si>
    <t>Velika Loka</t>
  </si>
  <si>
    <t>Veliki Gaber</t>
  </si>
  <si>
    <t>Vinica</t>
  </si>
  <si>
    <t>Žužemberk</t>
  </si>
  <si>
    <t>Črna na Koroškem</t>
  </si>
  <si>
    <t>Koroška</t>
  </si>
  <si>
    <t>Dravograd</t>
  </si>
  <si>
    <t>Kotlje</t>
  </si>
  <si>
    <t>Libeliče</t>
  </si>
  <si>
    <t>Mežica</t>
  </si>
  <si>
    <t>Mislinja</t>
  </si>
  <si>
    <t>Muta</t>
  </si>
  <si>
    <t>Podgorje pri Slovenj Gradcu</t>
  </si>
  <si>
    <t>Podvelka</t>
  </si>
  <si>
    <t>Prevalje</t>
  </si>
  <si>
    <t>Radlje ob Dravi</t>
  </si>
  <si>
    <t>Ravne na Koroškem</t>
  </si>
  <si>
    <t>Ribnica na Pohorju</t>
  </si>
  <si>
    <t>Slovenj Gradec</t>
  </si>
  <si>
    <t>Šentjanž pri Dravogradu</t>
  </si>
  <si>
    <t>Šmartno pri Slovenj Gradcu</t>
  </si>
  <si>
    <t>Trbonje</t>
  </si>
  <si>
    <t>Vuhred</t>
  </si>
  <si>
    <t>Vuzenica</t>
  </si>
  <si>
    <t>Ankaran/Ancarano</t>
  </si>
  <si>
    <t>Obalno-kraška</t>
  </si>
  <si>
    <t>Črni Kal</t>
  </si>
  <si>
    <t>Dekani</t>
  </si>
  <si>
    <t>Divača</t>
  </si>
  <si>
    <t>Dutovlje</t>
  </si>
  <si>
    <t>Gračišče</t>
  </si>
  <si>
    <t>Izola/Isola</t>
  </si>
  <si>
    <t>Komen</t>
  </si>
  <si>
    <t>Koper - Capodistria</t>
  </si>
  <si>
    <t>Koper - Capodistria - poštni predali</t>
  </si>
  <si>
    <t>Kozina</t>
  </si>
  <si>
    <t>Lokev</t>
  </si>
  <si>
    <t>Marezige</t>
  </si>
  <si>
    <t>Materija</t>
  </si>
  <si>
    <t>Obrov</t>
  </si>
  <si>
    <t>Piran/Pirano</t>
  </si>
  <si>
    <t>Pobegi</t>
  </si>
  <si>
    <t>Podgorje</t>
  </si>
  <si>
    <t>Podgrad</t>
  </si>
  <si>
    <t>Portorož/Portorose</t>
  </si>
  <si>
    <t>Sečovlje/Sicciole</t>
  </si>
  <si>
    <t>Senožeče</t>
  </si>
  <si>
    <t>Sežana</t>
  </si>
  <si>
    <t>Škofije</t>
  </si>
  <si>
    <t>Šmarje</t>
  </si>
  <si>
    <t>Štanjel</t>
  </si>
  <si>
    <t>Vremski Britof</t>
  </si>
  <si>
    <t>Blagovica</t>
  </si>
  <si>
    <t>Osrednjeslovenska</t>
  </si>
  <si>
    <t>Borovnica</t>
  </si>
  <si>
    <t>Brezovica pri Ljubljani</t>
  </si>
  <si>
    <t>Dob</t>
  </si>
  <si>
    <t>Dobrova</t>
  </si>
  <si>
    <t>Dol pri Ljubljani</t>
  </si>
  <si>
    <t>Dole pri Litiji</t>
  </si>
  <si>
    <t>Domžale</t>
  </si>
  <si>
    <t>Gabrovka</t>
  </si>
  <si>
    <t>Grosuplje</t>
  </si>
  <si>
    <t>Horjul</t>
  </si>
  <si>
    <t>Hotedršica</t>
  </si>
  <si>
    <t>Ig</t>
  </si>
  <si>
    <t>Ivančna Gorica</t>
  </si>
  <si>
    <t>Kamnik</t>
  </si>
  <si>
    <t>Komenda</t>
  </si>
  <si>
    <t>Kresnice</t>
  </si>
  <si>
    <t>Krka</t>
  </si>
  <si>
    <t>Laze v Tuhinju</t>
  </si>
  <si>
    <t>Litija</t>
  </si>
  <si>
    <t>Ljubljana</t>
  </si>
  <si>
    <t>Ljubljana - poštni predali</t>
  </si>
  <si>
    <t>Ljubljana - Črnuče</t>
  </si>
  <si>
    <t>Ljubljana - Dobrunje</t>
  </si>
  <si>
    <t>Ljubljana - Polje</t>
  </si>
  <si>
    <t>Ljubljana - poštni center</t>
  </si>
  <si>
    <t>Ljubljana - Šentvid</t>
  </si>
  <si>
    <t>Ljubljana - Šmartno</t>
  </si>
  <si>
    <t>Log pri Brezovici</t>
  </si>
  <si>
    <t>Logatec</t>
  </si>
  <si>
    <t>Lukovica</t>
  </si>
  <si>
    <t>Medvode</t>
  </si>
  <si>
    <t>Mengeš</t>
  </si>
  <si>
    <t>Moravče</t>
  </si>
  <si>
    <t>Motnik</t>
  </si>
  <si>
    <t>Notranje Gorice</t>
  </si>
  <si>
    <t>Polhov Gradec</t>
  </si>
  <si>
    <t>Polšnik</t>
  </si>
  <si>
    <t>Preserje</t>
  </si>
  <si>
    <t>Primskovo</t>
  </si>
  <si>
    <t>Radomlje</t>
  </si>
  <si>
    <t>Rob</t>
  </si>
  <si>
    <t>Rovte</t>
  </si>
  <si>
    <t>Sava</t>
  </si>
  <si>
    <t>Smlednik</t>
  </si>
  <si>
    <t>Stahovica</t>
  </si>
  <si>
    <t>Struge</t>
  </si>
  <si>
    <t>Šentvid pri Stični</t>
  </si>
  <si>
    <t>Škofljica</t>
  </si>
  <si>
    <t>Šmarje - Sap</t>
  </si>
  <si>
    <t>Šmartno pri Litiji</t>
  </si>
  <si>
    <t>Trojane</t>
  </si>
  <si>
    <t>Trzin</t>
  </si>
  <si>
    <t>Turjak</t>
  </si>
  <si>
    <t>Vače</t>
  </si>
  <si>
    <t>Velike Lašče</t>
  </si>
  <si>
    <t>Videm - Dobrepolje</t>
  </si>
  <si>
    <t>Višnja Gora</t>
  </si>
  <si>
    <t>Vodice</t>
  </si>
  <si>
    <t>Vrhnika</t>
  </si>
  <si>
    <t>Zagradec</t>
  </si>
  <si>
    <t>Benedikt</t>
  </si>
  <si>
    <t>Podravska</t>
  </si>
  <si>
    <t>Bistrica ob Dravi</t>
  </si>
  <si>
    <t>Bresternica</t>
  </si>
  <si>
    <t>Cerkvenjak</t>
  </si>
  <si>
    <t>Ceršak</t>
  </si>
  <si>
    <t>Cirkovce</t>
  </si>
  <si>
    <t>Cirkulane</t>
  </si>
  <si>
    <t>Destrnik</t>
  </si>
  <si>
    <t>Dornava</t>
  </si>
  <si>
    <t>Fala</t>
  </si>
  <si>
    <t>Fram</t>
  </si>
  <si>
    <t>Gorišnica</t>
  </si>
  <si>
    <t>Hajdina</t>
  </si>
  <si>
    <t>Hoče</t>
  </si>
  <si>
    <t>Ivanjkovci</t>
  </si>
  <si>
    <t>Jakobski Dol</t>
  </si>
  <si>
    <t>Jarenina</t>
  </si>
  <si>
    <t>Jurovski Dol</t>
  </si>
  <si>
    <t>Juršinci</t>
  </si>
  <si>
    <t>Kamnica</t>
  </si>
  <si>
    <t>Kapla</t>
  </si>
  <si>
    <t>Kidričevo</t>
  </si>
  <si>
    <t>Kog</t>
  </si>
  <si>
    <t>Laporje</t>
  </si>
  <si>
    <t>Lenart v Slovenskih goricah</t>
  </si>
  <si>
    <t>Limbuš</t>
  </si>
  <si>
    <t>Lovrenc na Dravskem polju</t>
  </si>
  <si>
    <t>Lovrenc na Pohorju</t>
  </si>
  <si>
    <t>Majšperk</t>
  </si>
  <si>
    <t>Makole</t>
  </si>
  <si>
    <t>Malečnik</t>
  </si>
  <si>
    <t>Maribor</t>
  </si>
  <si>
    <t>Maribor - poštni predali</t>
  </si>
  <si>
    <t>Marjeta na Dravskem polju</t>
  </si>
  <si>
    <t>Markovci</t>
  </si>
  <si>
    <t>Miklavž na Dravskem polju</t>
  </si>
  <si>
    <t>Miklavž pri Ormožu</t>
  </si>
  <si>
    <t>Oplotnica</t>
  </si>
  <si>
    <t>Orehova vas</t>
  </si>
  <si>
    <t>Ormož</t>
  </si>
  <si>
    <t>Ožbalt</t>
  </si>
  <si>
    <t>Pernica</t>
  </si>
  <si>
    <t>Pesnica pri Mariboru</t>
  </si>
  <si>
    <t>Podgorci</t>
  </si>
  <si>
    <t>Podlehnik</t>
  </si>
  <si>
    <t>Pohorje</t>
  </si>
  <si>
    <t>Polenšak</t>
  </si>
  <si>
    <t>Poljčane</t>
  </si>
  <si>
    <t>Pragersko</t>
  </si>
  <si>
    <t>Ptuj</t>
  </si>
  <si>
    <t>Ptujska Gora</t>
  </si>
  <si>
    <t>Rače</t>
  </si>
  <si>
    <t>Ruše</t>
  </si>
  <si>
    <t>Selnica ob Dravi</t>
  </si>
  <si>
    <t>Sladki Vrh</t>
  </si>
  <si>
    <t>Slovenska Bistrica</t>
  </si>
  <si>
    <t>Spodnji Duplek</t>
  </si>
  <si>
    <t>Središče ob Dravi</t>
  </si>
  <si>
    <t>Starše</t>
  </si>
  <si>
    <t>Stoperce</t>
  </si>
  <si>
    <t>Sv. Duh na Ostrem Vrhu</t>
  </si>
  <si>
    <t>Sveta Ana v Slovenskih goricah</t>
  </si>
  <si>
    <t>Sveta Trojica v Slovenskih goricah</t>
  </si>
  <si>
    <t>Sveti Tomaž</t>
  </si>
  <si>
    <t>Šentilj v Slovenskih goricah</t>
  </si>
  <si>
    <t>Šmartno na Pohorju</t>
  </si>
  <si>
    <t>Trnovska vas</t>
  </si>
  <si>
    <t>Velika Nedelja</t>
  </si>
  <si>
    <t>Videm pri Ptuju</t>
  </si>
  <si>
    <t>Vitomarci</t>
  </si>
  <si>
    <t>Voličina</t>
  </si>
  <si>
    <t>Zavrč</t>
  </si>
  <si>
    <t>Zgornja Korena</t>
  </si>
  <si>
    <t>Zgornja Kungota</t>
  </si>
  <si>
    <t>Zgornja Ložnica</t>
  </si>
  <si>
    <t>Zgornja Polskava</t>
  </si>
  <si>
    <t>Zgornja Velka</t>
  </si>
  <si>
    <t>Zgornji Leskovec</t>
  </si>
  <si>
    <t>Žetale</t>
  </si>
  <si>
    <t>Apače</t>
  </si>
  <si>
    <t>Pomurska</t>
  </si>
  <si>
    <t>Beltinci</t>
  </si>
  <si>
    <t>Bodonci</t>
  </si>
  <si>
    <t>Bogojina</t>
  </si>
  <si>
    <t>Cankova</t>
  </si>
  <si>
    <t>Črenšovci</t>
  </si>
  <si>
    <t>Dobrovnik/Dobronak</t>
  </si>
  <si>
    <t>Fokovci</t>
  </si>
  <si>
    <t>Gornja Radgona</t>
  </si>
  <si>
    <t>Grad</t>
  </si>
  <si>
    <t>Hodoš/Hodos</t>
  </si>
  <si>
    <t>Kobilje</t>
  </si>
  <si>
    <t>Križevci</t>
  </si>
  <si>
    <t>Križevci pri Ljutomeru</t>
  </si>
  <si>
    <t>Kuzma</t>
  </si>
  <si>
    <t>Lendava/Lendva</t>
  </si>
  <si>
    <t>Ljutomer</t>
  </si>
  <si>
    <t>Mačkovci</t>
  </si>
  <si>
    <t>Mala Nedelja</t>
  </si>
  <si>
    <t>Martjanci</t>
  </si>
  <si>
    <t>Moravske Toplice</t>
  </si>
  <si>
    <t>Murska Sobota</t>
  </si>
  <si>
    <t>Murska Sobota - poštni predali</t>
  </si>
  <si>
    <t>Odranci</t>
  </si>
  <si>
    <t>Petrovci</t>
  </si>
  <si>
    <t>Prosenjakovci/Partosfalva</t>
  </si>
  <si>
    <t>Puconci</t>
  </si>
  <si>
    <t>Radenci</t>
  </si>
  <si>
    <t>Razkrižje</t>
  </si>
  <si>
    <t>Rogašovci</t>
  </si>
  <si>
    <t>Spodnji Ivanjci</t>
  </si>
  <si>
    <t>Sveti Jurij ob Ščavnici</t>
  </si>
  <si>
    <t>Šalovci</t>
  </si>
  <si>
    <t>Tišina</t>
  </si>
  <si>
    <t>Turnišče</t>
  </si>
  <si>
    <t>Velika Polana</t>
  </si>
  <si>
    <t>Veržej</t>
  </si>
  <si>
    <t>Artiče</t>
  </si>
  <si>
    <t>Posavska</t>
  </si>
  <si>
    <t>Bizeljsko</t>
  </si>
  <si>
    <t>Blanca</t>
  </si>
  <si>
    <t>Boštanj</t>
  </si>
  <si>
    <t>Brestanica</t>
  </si>
  <si>
    <t>Brežice</t>
  </si>
  <si>
    <t>Cerklje ob Krki</t>
  </si>
  <si>
    <t>Čatež ob Savi</t>
  </si>
  <si>
    <t>Dobova</t>
  </si>
  <si>
    <t>Globoko</t>
  </si>
  <si>
    <t>Jesenice na Dolenjskem</t>
  </si>
  <si>
    <t>Kapele</t>
  </si>
  <si>
    <t>Koprivnica</t>
  </si>
  <si>
    <t>Krmelj</t>
  </si>
  <si>
    <t>Krška vas</t>
  </si>
  <si>
    <t>Krško</t>
  </si>
  <si>
    <t>Leskovec pri Krškem</t>
  </si>
  <si>
    <t>Loka pri Zidanem Mostu</t>
  </si>
  <si>
    <t>Pišece</t>
  </si>
  <si>
    <t>Radeče</t>
  </si>
  <si>
    <t>Raka</t>
  </si>
  <si>
    <t>Senovo</t>
  </si>
  <si>
    <t>Sevnica</t>
  </si>
  <si>
    <t>Sromlje</t>
  </si>
  <si>
    <t>Studenec</t>
  </si>
  <si>
    <t>Šentjanž</t>
  </si>
  <si>
    <t>Tržišče</t>
  </si>
  <si>
    <t>Zabukovje</t>
  </si>
  <si>
    <t>Zdole</t>
  </si>
  <si>
    <t>Zidani Most</t>
  </si>
  <si>
    <t>Begunje pri Cerknici</t>
  </si>
  <si>
    <t>Primorsko-notranjska</t>
  </si>
  <si>
    <t>Cerknica</t>
  </si>
  <si>
    <t>Grahovo</t>
  </si>
  <si>
    <t>Hruševje</t>
  </si>
  <si>
    <t>Ilirska Bistrica</t>
  </si>
  <si>
    <t>Ilirska Bistrica - Trnovo</t>
  </si>
  <si>
    <t>Jelšane</t>
  </si>
  <si>
    <t>Knežak</t>
  </si>
  <si>
    <t>Košana</t>
  </si>
  <si>
    <t>Nova vas</t>
  </si>
  <si>
    <t>Pivka</t>
  </si>
  <si>
    <t>Planina</t>
  </si>
  <si>
    <t>Postojna</t>
  </si>
  <si>
    <t>Prem</t>
  </si>
  <si>
    <t>Prestranek</t>
  </si>
  <si>
    <t>Rakek</t>
  </si>
  <si>
    <t>Stari trg pri Ložu</t>
  </si>
  <si>
    <t>Bistrica ob Sotli</t>
  </si>
  <si>
    <t>Savinjska</t>
  </si>
  <si>
    <t>Braslovče</t>
  </si>
  <si>
    <t>Buče</t>
  </si>
  <si>
    <t>Celje</t>
  </si>
  <si>
    <t>Celje - poštni predali</t>
  </si>
  <si>
    <t>Dobje pri Planini</t>
  </si>
  <si>
    <t>Dobrna</t>
  </si>
  <si>
    <t>Dramlje</t>
  </si>
  <si>
    <t>Frankolovo</t>
  </si>
  <si>
    <t>Gomilsko</t>
  </si>
  <si>
    <t>Gorica pri Slivnici</t>
  </si>
  <si>
    <t>Gornji Grad</t>
  </si>
  <si>
    <t>Griže</t>
  </si>
  <si>
    <t>Grobelno</t>
  </si>
  <si>
    <t>Jurklošter</t>
  </si>
  <si>
    <t>Kalobje</t>
  </si>
  <si>
    <t>Kozje</t>
  </si>
  <si>
    <t>Laško</t>
  </si>
  <si>
    <t>Lesično</t>
  </si>
  <si>
    <t>Ljubečna</t>
  </si>
  <si>
    <t>Ljubno ob Savinji</t>
  </si>
  <si>
    <t>Loče</t>
  </si>
  <si>
    <t>Loka pri Žusmu</t>
  </si>
  <si>
    <t>Luče</t>
  </si>
  <si>
    <t>Mozirje</t>
  </si>
  <si>
    <t>Nazarje</t>
  </si>
  <si>
    <t>Nova Cerkev</t>
  </si>
  <si>
    <t>Petrovče</t>
  </si>
  <si>
    <t>Planina pri Sevnici</t>
  </si>
  <si>
    <t>Podčetrtek</t>
  </si>
  <si>
    <t>Podplat</t>
  </si>
  <si>
    <t>Podsreda</t>
  </si>
  <si>
    <t>Polzela</t>
  </si>
  <si>
    <t>Ponikva</t>
  </si>
  <si>
    <t>Prebold</t>
  </si>
  <si>
    <t>Prevorje</t>
  </si>
  <si>
    <t>Pristava pri Mestinju</t>
  </si>
  <si>
    <t>Rečica ob Savinji</t>
  </si>
  <si>
    <t>Rimske Toplice</t>
  </si>
  <si>
    <t>Rogaška Slatina</t>
  </si>
  <si>
    <t>Rogatec</t>
  </si>
  <si>
    <t>Slovenske Konjice</t>
  </si>
  <si>
    <t>Solčava</t>
  </si>
  <si>
    <t>Stranice</t>
  </si>
  <si>
    <t>Sveti Štefan</t>
  </si>
  <si>
    <t>Šempeter v Savinjski dolini</t>
  </si>
  <si>
    <t>Šentjur</t>
  </si>
  <si>
    <t>Škofja vas</t>
  </si>
  <si>
    <t>Šmarje pri Jelšah</t>
  </si>
  <si>
    <t>Šmartno ob Dreti</t>
  </si>
  <si>
    <t>Šmartno ob Paki</t>
  </si>
  <si>
    <t>Šmartno v Rožni dolini</t>
  </si>
  <si>
    <t>Šoštanj</t>
  </si>
  <si>
    <t>Štore</t>
  </si>
  <si>
    <t>Tabor</t>
  </si>
  <si>
    <t>Teharje</t>
  </si>
  <si>
    <t>Topolšica</t>
  </si>
  <si>
    <t>Velenje</t>
  </si>
  <si>
    <t>Vitanje</t>
  </si>
  <si>
    <t>Vojnik</t>
  </si>
  <si>
    <t>Vransko</t>
  </si>
  <si>
    <t>Zreče</t>
  </si>
  <si>
    <t>Žalec</t>
  </si>
  <si>
    <t>(tujina)</t>
  </si>
  <si>
    <t>Tujina</t>
  </si>
  <si>
    <t>zamejstvo - Italija</t>
  </si>
  <si>
    <t>Zamejstvo</t>
  </si>
  <si>
    <t>zamejstvo - Avstrija</t>
  </si>
  <si>
    <t>zamejstvo - Hrvaška</t>
  </si>
  <si>
    <t>zamejstvo - Madžarska</t>
  </si>
  <si>
    <t>Čemšenik</t>
  </si>
  <si>
    <t>Zasavska</t>
  </si>
  <si>
    <t>Dobovec</t>
  </si>
  <si>
    <t>Dol pri Hrastniku</t>
  </si>
  <si>
    <t>Hrastnik</t>
  </si>
  <si>
    <t>Izlake</t>
  </si>
  <si>
    <t>Kisovec</t>
  </si>
  <si>
    <t>Podkum</t>
  </si>
  <si>
    <t>Trbovlje</t>
  </si>
  <si>
    <t>Zagorje ob Savi</t>
  </si>
  <si>
    <t>x1</t>
  </si>
  <si>
    <t>x2</t>
  </si>
  <si>
    <t>090</t>
  </si>
  <si>
    <t>Koper/Capodistria</t>
  </si>
  <si>
    <t>050</t>
  </si>
  <si>
    <t>049</t>
  </si>
  <si>
    <t>040</t>
  </si>
  <si>
    <t>Hrpelje - Kozina</t>
  </si>
  <si>
    <t>035</t>
  </si>
  <si>
    <t>019</t>
  </si>
  <si>
    <t>Renče - Vogrsko</t>
  </si>
  <si>
    <t>Šempeter - Vrtojba</t>
  </si>
  <si>
    <t>084</t>
  </si>
  <si>
    <t>Miren - Kostanjevica</t>
  </si>
  <si>
    <t>075</t>
  </si>
  <si>
    <t>046</t>
  </si>
  <si>
    <t>044</t>
  </si>
  <si>
    <t>036</t>
  </si>
  <si>
    <t>014</t>
  </si>
  <si>
    <t>Brda</t>
  </si>
  <si>
    <t>007</t>
  </si>
  <si>
    <t>006</t>
  </si>
  <si>
    <t>001</t>
  </si>
  <si>
    <t>Bloke</t>
  </si>
  <si>
    <t>094</t>
  </si>
  <si>
    <t>091</t>
  </si>
  <si>
    <t>Loška dolina</t>
  </si>
  <si>
    <t>065</t>
  </si>
  <si>
    <t>038</t>
  </si>
  <si>
    <t>013</t>
  </si>
  <si>
    <t>Gorje</t>
  </si>
  <si>
    <t>09</t>
  </si>
  <si>
    <t>Jezersko</t>
  </si>
  <si>
    <t>095</t>
  </si>
  <si>
    <t>082</t>
  </si>
  <si>
    <t>053</t>
  </si>
  <si>
    <t>052</t>
  </si>
  <si>
    <t>041</t>
  </si>
  <si>
    <t>Gorenja vas - Poljane</t>
  </si>
  <si>
    <t>027</t>
  </si>
  <si>
    <t>012</t>
  </si>
  <si>
    <t>Bohinj</t>
  </si>
  <si>
    <t>004</t>
  </si>
  <si>
    <t>003</t>
  </si>
  <si>
    <t>Log - Dragomer</t>
  </si>
  <si>
    <t>08</t>
  </si>
  <si>
    <t>077</t>
  </si>
  <si>
    <t>072</t>
  </si>
  <si>
    <t>071</t>
  </si>
  <si>
    <t>068</t>
  </si>
  <si>
    <t>064</t>
  </si>
  <si>
    <t>061</t>
  </si>
  <si>
    <t>043</t>
  </si>
  <si>
    <t>039</t>
  </si>
  <si>
    <t>037</t>
  </si>
  <si>
    <t>032</t>
  </si>
  <si>
    <t>023</t>
  </si>
  <si>
    <t>022</t>
  </si>
  <si>
    <t>Dobrova - Polhov Gradec</t>
  </si>
  <si>
    <t>021</t>
  </si>
  <si>
    <t>Dobrepolje</t>
  </si>
  <si>
    <t>020</t>
  </si>
  <si>
    <t>Brezovica</t>
  </si>
  <si>
    <t>008</t>
  </si>
  <si>
    <t>005</t>
  </si>
  <si>
    <t>07</t>
  </si>
  <si>
    <t>Mokronog - Trebelno</t>
  </si>
  <si>
    <t>088</t>
  </si>
  <si>
    <t>085</t>
  </si>
  <si>
    <t>073</t>
  </si>
  <si>
    <t>066</t>
  </si>
  <si>
    <t>048</t>
  </si>
  <si>
    <t>017</t>
  </si>
  <si>
    <t>06</t>
  </si>
  <si>
    <t>099</t>
  </si>
  <si>
    <t>054</t>
  </si>
  <si>
    <t>009</t>
  </si>
  <si>
    <t>05</t>
  </si>
  <si>
    <t>060</t>
  </si>
  <si>
    <t>034</t>
  </si>
  <si>
    <t>04</t>
  </si>
  <si>
    <t>Dobje</t>
  </si>
  <si>
    <t xml:space="preserve">Šentjur </t>
  </si>
  <si>
    <t>092</t>
  </si>
  <si>
    <t>083</t>
  </si>
  <si>
    <t>079</t>
  </si>
  <si>
    <t>067</t>
  </si>
  <si>
    <t>Ljubno</t>
  </si>
  <si>
    <t>062</t>
  </si>
  <si>
    <t>057</t>
  </si>
  <si>
    <t>051</t>
  </si>
  <si>
    <t>030</t>
  </si>
  <si>
    <t>011</t>
  </si>
  <si>
    <t>03</t>
  </si>
  <si>
    <t>093</t>
  </si>
  <si>
    <t>081</t>
  </si>
  <si>
    <t>076</t>
  </si>
  <si>
    <t>074</t>
  </si>
  <si>
    <t>025</t>
  </si>
  <si>
    <t>016</t>
  </si>
  <si>
    <t>Sveti Jurij v Slov. goricah</t>
  </si>
  <si>
    <t>02</t>
  </si>
  <si>
    <t>Sveta Trojica v Slov. goricah</t>
  </si>
  <si>
    <t>Sveti Andraž v Slov. goricah</t>
  </si>
  <si>
    <t>Sveta Ana</t>
  </si>
  <si>
    <t>Hoče - Slivnica</t>
  </si>
  <si>
    <t>Videm</t>
  </si>
  <si>
    <t>Šentilj</t>
  </si>
  <si>
    <t>Rače - Fram</t>
  </si>
  <si>
    <t>098</t>
  </si>
  <si>
    <t>096</t>
  </si>
  <si>
    <t>Pesnica</t>
  </si>
  <si>
    <t>089</t>
  </si>
  <si>
    <t>087</t>
  </si>
  <si>
    <t>070</t>
  </si>
  <si>
    <t>069</t>
  </si>
  <si>
    <t>Lenart</t>
  </si>
  <si>
    <t>058</t>
  </si>
  <si>
    <t>Kungota</t>
  </si>
  <si>
    <t>055</t>
  </si>
  <si>
    <t>045</t>
  </si>
  <si>
    <t>042</t>
  </si>
  <si>
    <t>028</t>
  </si>
  <si>
    <t>Duplek</t>
  </si>
  <si>
    <t>026</t>
  </si>
  <si>
    <t>024</t>
  </si>
  <si>
    <t>018</t>
  </si>
  <si>
    <t>01</t>
  </si>
  <si>
    <t>097</t>
  </si>
  <si>
    <t>086</t>
  </si>
  <si>
    <t>080</t>
  </si>
  <si>
    <t>078</t>
  </si>
  <si>
    <t>063</t>
  </si>
  <si>
    <t>059</t>
  </si>
  <si>
    <t>056</t>
  </si>
  <si>
    <t>047</t>
  </si>
  <si>
    <t>033</t>
  </si>
  <si>
    <t>Gornji Petrovci</t>
  </si>
  <si>
    <t>031</t>
  </si>
  <si>
    <t>029</t>
  </si>
  <si>
    <t>015</t>
  </si>
  <si>
    <t>010</t>
  </si>
  <si>
    <t>002</t>
  </si>
  <si>
    <t>Ime občine</t>
  </si>
  <si>
    <t>Šifra občine</t>
  </si>
  <si>
    <t>Ime statistične regije</t>
  </si>
  <si>
    <t>Šifra statistične regije</t>
  </si>
  <si>
    <t>Statistične regije - NUTS 3 (12) / občine - SKTE 5 (212)</t>
  </si>
  <si>
    <t>Občina.id</t>
  </si>
  <si>
    <t>Regija.občine</t>
  </si>
  <si>
    <t>Je pošta občina?</t>
  </si>
  <si>
    <t>Napačna regija?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</si>
</sst>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rial CE"/>
      <charset val="238"/>
    </font>
    <font>
      <sz val="10"/>
      <name val="Arial CE"/>
      <family val="2"/>
      <charset val="238"/>
    </font>
    <font>
      <sz val="11"/>
      <name val="Arial CE"/>
      <family val="2"/>
      <charset val="238"/>
    </font>
    <font>
      <b/>
      <i/>
      <sz val="10"/>
      <name val="Arial CE"/>
      <family val="2"/>
      <charset val="238"/>
    </font>
    <font>
      <b/>
      <i/>
      <sz val="12"/>
      <name val="Arial CE"/>
      <charset val="238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CFF3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3" fillId="0" borderId="0" xfId="1" applyFont="1"/>
    <xf numFmtId="0" fontId="4" fillId="0" borderId="1" xfId="1" applyFont="1" applyBorder="1"/>
    <xf numFmtId="49" fontId="4" fillId="0" borderId="1" xfId="1" applyNumberFormat="1" applyFont="1" applyBorder="1" applyAlignment="1">
      <alignment horizontal="right"/>
    </xf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 wrapText="1"/>
    </xf>
    <xf numFmtId="0" fontId="3" fillId="0" borderId="1" xfId="1" applyFont="1" applyBorder="1"/>
    <xf numFmtId="0" fontId="5" fillId="0" borderId="0" xfId="1" applyFont="1"/>
    <xf numFmtId="0" fontId="2" fillId="3" borderId="0" xfId="1" applyFill="1"/>
    <xf numFmtId="0" fontId="6" fillId="3" borderId="0" xfId="1" applyFont="1" applyFill="1"/>
    <xf numFmtId="0" fontId="4" fillId="4" borderId="0" xfId="1" applyFont="1" applyFill="1" applyBorder="1"/>
    <xf numFmtId="0" fontId="0" fillId="0" borderId="1" xfId="0" applyBorder="1"/>
    <xf numFmtId="0" fontId="1" fillId="0" borderId="0" xfId="0" applyFont="1"/>
  </cellXfs>
  <cellStyles count="2">
    <cellStyle name="Normal" xfId="0" builtinId="0"/>
    <cellStyle name="Normal 2" xfId="1" xr:uid="{BDBFD1E4-62EC-41BE-B39B-390F134CCF6B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skošek, Bojan" id="{B0A86080-3FF1-41DA-B9EB-1C8139C00CC1}" userId="S::Bojan.Leskosek@fsp.uni-lj.si::01467edb-a248-43f6-847c-bdc254055f4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4-01T17:39:40.25" personId="{B0A86080-3FF1-41DA-B9EB-1C8139C00CC1}" id="{27CA99E9-B9D0-4DB6-9B7E-D9517DFCF062}">
    <text>SELECT TABLE_NAME FROM INFORMATION_SCHEMA.TABLES where TABLE_NAME like '%regi%'  --WHERE TABLE_TYPE='BASE TABLE'
select top 945 * from FitnessMapStates --212 občin
select top 45 * from FitnessMapRegions --12 regij
select top 945 * from FitnessMapStateInRegion --212 povezav
select top 945 * from PostalCodes -- 483 pošte</text>
  </threadedComment>
  <threadedComment ref="H1" dT="2026-04-02T05:33:49.42" personId="{B0A86080-3FF1-41DA-B9EB-1C8139C00CC1}" id="{CB83F0C1-148B-4BC0-9ED7-2C075DB2F431}">
    <text>=IFNA(XLOOKUP(C2,'regije_občine 212'!$D$4:$D$215,'regije_občine 212'!$D$4:$D$215),"")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68C5-8FBE-4766-AEDF-5332C1C2AFD5}">
  <dimension ref="A1:I484"/>
  <sheetViews>
    <sheetView tabSelected="1" workbookViewId="0">
      <pane ySplit="1" topLeftCell="A215" activePane="bottomLeft" state="frozen"/>
      <selection pane="bottomLeft" activeCell="I1" sqref="I1"/>
    </sheetView>
  </sheetViews>
  <sheetFormatPr defaultRowHeight="14.4" x14ac:dyDescent="0.3"/>
  <cols>
    <col min="3" max="3" width="28.6640625" bestFit="1" customWidth="1"/>
    <col min="4" max="4" width="18.6640625" bestFit="1" customWidth="1"/>
    <col min="6" max="6" width="14.21875" bestFit="1" customWidth="1"/>
    <col min="8" max="8" width="18.77734375" bestFit="1" customWidth="1"/>
    <col min="9" max="9" width="8.88671875" style="12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650</v>
      </c>
      <c r="G1" t="s">
        <v>648</v>
      </c>
      <c r="H1" t="s">
        <v>649</v>
      </c>
      <c r="I1" t="s">
        <v>651</v>
      </c>
    </row>
    <row r="2" spans="1:9" x14ac:dyDescent="0.3">
      <c r="A2">
        <v>190</v>
      </c>
      <c r="B2">
        <v>1000</v>
      </c>
      <c r="C2" t="s">
        <v>211</v>
      </c>
      <c r="D2" t="s">
        <v>191</v>
      </c>
      <c r="E2">
        <f>_xlfn.XLOOKUP(D2,Regije!B:B,Regije!A:A)</f>
        <v>8</v>
      </c>
      <c r="F2" t="b">
        <f>_xlfn.IFNA(_xlfn.XLOOKUP(C2,'regije_občine 212'!$D$4:$D$215,'regije_občine 212'!$D$4:$D$215)=C2,FALSE)</f>
        <v>1</v>
      </c>
      <c r="H2" t="str">
        <f>_xlfn.IFNA(_xlfn.XLOOKUP(C2,'regije_občine 212'!$D$4:$D$215,'regije_občine 212'!$B$4:$B$215),"")</f>
        <v>Osrednjeslovenska</v>
      </c>
      <c r="I2" s="12" t="str">
        <f>IF(AND(H2&lt;&gt;"",H2&lt;&gt;D2),"drugačna regija!","")</f>
        <v/>
      </c>
    </row>
    <row r="3" spans="1:9" x14ac:dyDescent="0.3">
      <c r="A3">
        <v>191</v>
      </c>
      <c r="B3">
        <v>1001</v>
      </c>
      <c r="C3" t="s">
        <v>212</v>
      </c>
      <c r="D3" t="s">
        <v>191</v>
      </c>
      <c r="E3">
        <f>_xlfn.XLOOKUP(D3,Regije!B:B,Regije!A:A)</f>
        <v>8</v>
      </c>
      <c r="F3" t="b">
        <f>_xlfn.IFNA(_xlfn.XLOOKUP(C3,'regije_občine 212'!$D$4:$D$215,'regije_občine 212'!$D$4:$D$215)=C3,FALSE)</f>
        <v>0</v>
      </c>
      <c r="H3" t="str">
        <f>_xlfn.IFNA(_xlfn.XLOOKUP(C3,'regije_občine 212'!$D$4:$D$215,'regije_občine 212'!$B$4:$B$215),"")</f>
        <v/>
      </c>
      <c r="I3" s="12" t="str">
        <f t="shared" ref="I3:I66" si="0">IF(AND(H3&lt;&gt;"",H3&lt;&gt;D3),"drugačna regija!","")</f>
        <v/>
      </c>
    </row>
    <row r="4" spans="1:9" x14ac:dyDescent="0.3">
      <c r="A4">
        <v>195</v>
      </c>
      <c r="B4">
        <v>1002</v>
      </c>
      <c r="C4" t="s">
        <v>216</v>
      </c>
      <c r="D4" t="s">
        <v>191</v>
      </c>
      <c r="E4">
        <f>_xlfn.XLOOKUP(D4,Regije!B:B,Regije!A:A)</f>
        <v>8</v>
      </c>
      <c r="F4" t="b">
        <f>_xlfn.IFNA(_xlfn.XLOOKUP(C4,'regije_občine 212'!$D$4:$D$215,'regije_občine 212'!$D$4:$D$215)=C4,FALSE)</f>
        <v>0</v>
      </c>
      <c r="H4" t="str">
        <f>_xlfn.IFNA(_xlfn.XLOOKUP(C4,'regije_občine 212'!$D$4:$D$215,'regije_občine 212'!$B$4:$B$215),"")</f>
        <v/>
      </c>
      <c r="I4" s="12" t="str">
        <f t="shared" si="0"/>
        <v/>
      </c>
    </row>
    <row r="5" spans="1:9" x14ac:dyDescent="0.3">
      <c r="A5">
        <v>196</v>
      </c>
      <c r="B5">
        <v>1210</v>
      </c>
      <c r="C5" t="s">
        <v>217</v>
      </c>
      <c r="D5" t="s">
        <v>191</v>
      </c>
      <c r="E5">
        <f>_xlfn.XLOOKUP(D5,Regije!B:B,Regije!A:A)</f>
        <v>8</v>
      </c>
      <c r="F5" t="b">
        <f>_xlfn.IFNA(_xlfn.XLOOKUP(C5,'regije_občine 212'!$D$4:$D$215,'regije_občine 212'!$D$4:$D$215)=C5,FALSE)</f>
        <v>0</v>
      </c>
      <c r="H5" t="str">
        <f>_xlfn.IFNA(_xlfn.XLOOKUP(C5,'regije_občine 212'!$D$4:$D$215,'regije_občine 212'!$B$4:$B$215),"")</f>
        <v/>
      </c>
      <c r="I5" s="12" t="str">
        <f t="shared" si="0"/>
        <v/>
      </c>
    </row>
    <row r="6" spans="1:9" x14ac:dyDescent="0.3">
      <c r="A6">
        <v>197</v>
      </c>
      <c r="B6">
        <v>1211</v>
      </c>
      <c r="C6" t="s">
        <v>218</v>
      </c>
      <c r="D6" t="s">
        <v>191</v>
      </c>
      <c r="E6">
        <f>_xlfn.XLOOKUP(D6,Regije!B:B,Regije!A:A)</f>
        <v>8</v>
      </c>
      <c r="F6" t="b">
        <f>_xlfn.IFNA(_xlfn.XLOOKUP(C6,'regije_občine 212'!$D$4:$D$215,'regije_občine 212'!$D$4:$D$215)=C6,FALSE)</f>
        <v>0</v>
      </c>
      <c r="H6" t="str">
        <f>_xlfn.IFNA(_xlfn.XLOOKUP(C6,'regije_občine 212'!$D$4:$D$215,'regije_občine 212'!$B$4:$B$215),"")</f>
        <v/>
      </c>
      <c r="I6" s="12" t="str">
        <f t="shared" si="0"/>
        <v/>
      </c>
    </row>
    <row r="7" spans="1:9" x14ac:dyDescent="0.3">
      <c r="A7">
        <v>225</v>
      </c>
      <c r="B7">
        <v>1215</v>
      </c>
      <c r="C7" t="s">
        <v>222</v>
      </c>
      <c r="D7" t="s">
        <v>191</v>
      </c>
      <c r="E7">
        <f>_xlfn.XLOOKUP(D7,Regije!B:B,Regije!A:A)</f>
        <v>8</v>
      </c>
      <c r="F7" t="b">
        <f>_xlfn.IFNA(_xlfn.XLOOKUP(C7,'regije_občine 212'!$D$4:$D$215,'regije_občine 212'!$D$4:$D$215)=C7,FALSE)</f>
        <v>1</v>
      </c>
      <c r="H7" t="str">
        <f>_xlfn.IFNA(_xlfn.XLOOKUP(C7,'regije_občine 212'!$D$4:$D$215,'regije_občine 212'!$B$4:$B$215),"")</f>
        <v>Osrednjeslovenska</v>
      </c>
      <c r="I7" s="12" t="str">
        <f t="shared" si="0"/>
        <v/>
      </c>
    </row>
    <row r="8" spans="1:9" x14ac:dyDescent="0.3">
      <c r="A8">
        <v>349</v>
      </c>
      <c r="B8">
        <v>1216</v>
      </c>
      <c r="C8" t="s">
        <v>235</v>
      </c>
      <c r="D8" t="s">
        <v>191</v>
      </c>
      <c r="E8">
        <f>_xlfn.XLOOKUP(D8,Regije!B:B,Regije!A:A)</f>
        <v>8</v>
      </c>
      <c r="F8" t="b">
        <f>_xlfn.IFNA(_xlfn.XLOOKUP(C8,'regije_občine 212'!$D$4:$D$215,'regije_občine 212'!$D$4:$D$215)=C8,FALSE)</f>
        <v>0</v>
      </c>
      <c r="H8" t="str">
        <f>_xlfn.IFNA(_xlfn.XLOOKUP(C8,'regije_občine 212'!$D$4:$D$215,'regije_občine 212'!$B$4:$B$215),"")</f>
        <v/>
      </c>
      <c r="I8" s="12" t="str">
        <f t="shared" si="0"/>
        <v/>
      </c>
    </row>
    <row r="9" spans="1:9" x14ac:dyDescent="0.3">
      <c r="A9">
        <v>447</v>
      </c>
      <c r="B9">
        <v>1217</v>
      </c>
      <c r="C9" t="s">
        <v>249</v>
      </c>
      <c r="D9" t="s">
        <v>191</v>
      </c>
      <c r="E9">
        <f>_xlfn.XLOOKUP(D9,Regije!B:B,Regije!A:A)</f>
        <v>8</v>
      </c>
      <c r="F9" t="b">
        <f>_xlfn.IFNA(_xlfn.XLOOKUP(C9,'regije_občine 212'!$D$4:$D$215,'regije_občine 212'!$D$4:$D$215)=C9,FALSE)</f>
        <v>1</v>
      </c>
      <c r="H9" t="str">
        <f>_xlfn.IFNA(_xlfn.XLOOKUP(C9,'regije_občine 212'!$D$4:$D$215,'regije_občine 212'!$B$4:$B$215),"")</f>
        <v>Osrednjeslovenska</v>
      </c>
      <c r="I9" s="12" t="str">
        <f t="shared" si="0"/>
        <v/>
      </c>
    </row>
    <row r="10" spans="1:9" x14ac:dyDescent="0.3">
      <c r="A10">
        <v>154</v>
      </c>
      <c r="B10">
        <v>1218</v>
      </c>
      <c r="C10" t="s">
        <v>206</v>
      </c>
      <c r="D10" t="s">
        <v>191</v>
      </c>
      <c r="E10">
        <f>_xlfn.XLOOKUP(D10,Regije!B:B,Regije!A:A)</f>
        <v>8</v>
      </c>
      <c r="F10" t="b">
        <f>_xlfn.IFNA(_xlfn.XLOOKUP(C10,'regije_občine 212'!$D$4:$D$215,'regije_občine 212'!$D$4:$D$215)=C10,FALSE)</f>
        <v>1</v>
      </c>
      <c r="H10" t="str">
        <f>_xlfn.IFNA(_xlfn.XLOOKUP(C10,'regije_občine 212'!$D$4:$D$215,'regije_občine 212'!$B$4:$B$215),"")</f>
        <v>Osrednjeslovenska</v>
      </c>
      <c r="I10" s="12" t="str">
        <f t="shared" si="0"/>
        <v/>
      </c>
    </row>
    <row r="11" spans="1:9" x14ac:dyDescent="0.3">
      <c r="A11">
        <v>180</v>
      </c>
      <c r="B11">
        <v>1219</v>
      </c>
      <c r="C11" t="s">
        <v>209</v>
      </c>
      <c r="D11" t="s">
        <v>191</v>
      </c>
      <c r="E11">
        <f>_xlfn.XLOOKUP(D11,Regije!B:B,Regije!A:A)</f>
        <v>8</v>
      </c>
      <c r="F11" t="b">
        <f>_xlfn.IFNA(_xlfn.XLOOKUP(C11,'regije_občine 212'!$D$4:$D$215,'regije_občine 212'!$D$4:$D$215)=C11,FALSE)</f>
        <v>0</v>
      </c>
      <c r="H11" t="str">
        <f>_xlfn.IFNA(_xlfn.XLOOKUP(C11,'regije_občine 212'!$D$4:$D$215,'regije_občine 212'!$B$4:$B$215),"")</f>
        <v/>
      </c>
      <c r="I11" s="12" t="str">
        <f t="shared" si="0"/>
        <v/>
      </c>
    </row>
    <row r="12" spans="1:9" x14ac:dyDescent="0.3">
      <c r="A12">
        <v>240</v>
      </c>
      <c r="B12">
        <v>1221</v>
      </c>
      <c r="C12" t="s">
        <v>225</v>
      </c>
      <c r="D12" t="s">
        <v>191</v>
      </c>
      <c r="E12">
        <f>_xlfn.XLOOKUP(D12,Regije!B:B,Regije!A:A)</f>
        <v>8</v>
      </c>
      <c r="F12" t="b">
        <f>_xlfn.IFNA(_xlfn.XLOOKUP(C12,'regije_občine 212'!$D$4:$D$215,'regije_občine 212'!$D$4:$D$215)=C12,FALSE)</f>
        <v>0</v>
      </c>
      <c r="H12" t="str">
        <f>_xlfn.IFNA(_xlfn.XLOOKUP(C12,'regije_občine 212'!$D$4:$D$215,'regije_občine 212'!$B$4:$B$215),"")</f>
        <v/>
      </c>
      <c r="I12" s="12" t="str">
        <f t="shared" si="0"/>
        <v/>
      </c>
    </row>
    <row r="13" spans="1:9" x14ac:dyDescent="0.3">
      <c r="A13">
        <v>423</v>
      </c>
      <c r="B13">
        <v>1222</v>
      </c>
      <c r="C13" t="s">
        <v>242</v>
      </c>
      <c r="D13" t="s">
        <v>191</v>
      </c>
      <c r="E13">
        <f>_xlfn.XLOOKUP(D13,Regije!B:B,Regije!A:A)</f>
        <v>8</v>
      </c>
      <c r="F13" t="b">
        <f>_xlfn.IFNA(_xlfn.XLOOKUP(C13,'regije_občine 212'!$D$4:$D$215,'regije_občine 212'!$D$4:$D$215)=C13,FALSE)</f>
        <v>0</v>
      </c>
      <c r="H13" t="str">
        <f>_xlfn.IFNA(_xlfn.XLOOKUP(C13,'regije_občine 212'!$D$4:$D$215,'regije_občine 212'!$B$4:$B$215),"")</f>
        <v/>
      </c>
      <c r="I13" s="12" t="str">
        <f t="shared" si="0"/>
        <v/>
      </c>
    </row>
    <row r="14" spans="1:9" x14ac:dyDescent="0.3">
      <c r="A14">
        <v>13</v>
      </c>
      <c r="B14">
        <v>1223</v>
      </c>
      <c r="C14" t="s">
        <v>190</v>
      </c>
      <c r="D14" t="s">
        <v>191</v>
      </c>
      <c r="E14">
        <f>_xlfn.XLOOKUP(D14,Regije!B:B,Regije!A:A)</f>
        <v>8</v>
      </c>
      <c r="F14" t="b">
        <f>_xlfn.IFNA(_xlfn.XLOOKUP(C14,'regije_občine 212'!$D$4:$D$215,'regije_občine 212'!$D$4:$D$215)=C14,FALSE)</f>
        <v>0</v>
      </c>
      <c r="H14" t="str">
        <f>_xlfn.IFNA(_xlfn.XLOOKUP(C14,'regije_občine 212'!$D$4:$D$215,'regije_občine 212'!$B$4:$B$215),"")</f>
        <v/>
      </c>
      <c r="I14" s="12" t="str">
        <f t="shared" si="0"/>
        <v/>
      </c>
    </row>
    <row r="15" spans="1:9" x14ac:dyDescent="0.3">
      <c r="A15">
        <v>211</v>
      </c>
      <c r="B15">
        <v>1225</v>
      </c>
      <c r="C15" t="s">
        <v>221</v>
      </c>
      <c r="D15" t="s">
        <v>191</v>
      </c>
      <c r="E15">
        <f>_xlfn.XLOOKUP(D15,Regije!B:B,Regije!A:A)</f>
        <v>8</v>
      </c>
      <c r="F15" t="b">
        <f>_xlfn.IFNA(_xlfn.XLOOKUP(C15,'regije_občine 212'!$D$4:$D$215,'regije_občine 212'!$D$4:$D$215)=C15,FALSE)</f>
        <v>1</v>
      </c>
      <c r="H15" t="str">
        <f>_xlfn.IFNA(_xlfn.XLOOKUP(C15,'regije_občine 212'!$D$4:$D$215,'regije_občine 212'!$B$4:$B$215),"")</f>
        <v>Osrednjeslovenska</v>
      </c>
      <c r="I15" s="12" t="str">
        <f t="shared" si="0"/>
        <v/>
      </c>
    </row>
    <row r="16" spans="1:9" x14ac:dyDescent="0.3">
      <c r="A16">
        <v>77</v>
      </c>
      <c r="B16">
        <v>1230</v>
      </c>
      <c r="C16" t="s">
        <v>198</v>
      </c>
      <c r="D16" t="s">
        <v>191</v>
      </c>
      <c r="E16">
        <f>_xlfn.XLOOKUP(D16,Regije!B:B,Regije!A:A)</f>
        <v>8</v>
      </c>
      <c r="F16" t="b">
        <f>_xlfn.IFNA(_xlfn.XLOOKUP(C16,'regije_občine 212'!$D$4:$D$215,'regije_občine 212'!$D$4:$D$215)=C16,FALSE)</f>
        <v>1</v>
      </c>
      <c r="H16" t="str">
        <f>_xlfn.IFNA(_xlfn.XLOOKUP(C16,'regije_občine 212'!$D$4:$D$215,'regije_občine 212'!$B$4:$B$215),"")</f>
        <v>Osrednjeslovenska</v>
      </c>
      <c r="I16" s="12" t="str">
        <f t="shared" si="0"/>
        <v/>
      </c>
    </row>
    <row r="17" spans="1:9" x14ac:dyDescent="0.3">
      <c r="A17">
        <v>192</v>
      </c>
      <c r="B17">
        <v>1231</v>
      </c>
      <c r="C17" t="s">
        <v>213</v>
      </c>
      <c r="D17" t="s">
        <v>191</v>
      </c>
      <c r="E17">
        <f>_xlfn.XLOOKUP(D17,Regije!B:B,Regije!A:A)</f>
        <v>8</v>
      </c>
      <c r="F17" t="b">
        <f>_xlfn.IFNA(_xlfn.XLOOKUP(C17,'regije_občine 212'!$D$4:$D$215,'regije_občine 212'!$D$4:$D$215)=C17,FALSE)</f>
        <v>0</v>
      </c>
      <c r="H17" t="str">
        <f>_xlfn.IFNA(_xlfn.XLOOKUP(C17,'regije_občine 212'!$D$4:$D$215,'regije_občine 212'!$B$4:$B$215),"")</f>
        <v/>
      </c>
      <c r="I17" s="12" t="str">
        <f t="shared" si="0"/>
        <v/>
      </c>
    </row>
    <row r="18" spans="1:9" x14ac:dyDescent="0.3">
      <c r="A18">
        <v>62</v>
      </c>
      <c r="B18">
        <v>1233</v>
      </c>
      <c r="C18" t="s">
        <v>194</v>
      </c>
      <c r="D18" t="s">
        <v>191</v>
      </c>
      <c r="E18">
        <f>_xlfn.XLOOKUP(D18,Regije!B:B,Regije!A:A)</f>
        <v>8</v>
      </c>
      <c r="F18" t="b">
        <f>_xlfn.IFNA(_xlfn.XLOOKUP(C18,'regije_občine 212'!$D$4:$D$215,'regije_občine 212'!$D$4:$D$215)=C18,FALSE)</f>
        <v>0</v>
      </c>
      <c r="H18" t="str">
        <f>_xlfn.IFNA(_xlfn.XLOOKUP(C18,'regije_občine 212'!$D$4:$D$215,'regije_občine 212'!$B$4:$B$215),"")</f>
        <v/>
      </c>
      <c r="I18" s="12" t="str">
        <f t="shared" si="0"/>
        <v/>
      </c>
    </row>
    <row r="19" spans="1:9" x14ac:dyDescent="0.3">
      <c r="A19">
        <v>226</v>
      </c>
      <c r="B19">
        <v>1234</v>
      </c>
      <c r="C19" t="s">
        <v>223</v>
      </c>
      <c r="D19" t="s">
        <v>191</v>
      </c>
      <c r="E19">
        <f>_xlfn.XLOOKUP(D19,Regije!B:B,Regije!A:A)</f>
        <v>8</v>
      </c>
      <c r="F19" t="b">
        <f>_xlfn.IFNA(_xlfn.XLOOKUP(C19,'regije_občine 212'!$D$4:$D$215,'regije_občine 212'!$D$4:$D$215)=C19,FALSE)</f>
        <v>1</v>
      </c>
      <c r="H19" t="str">
        <f>_xlfn.IFNA(_xlfn.XLOOKUP(C19,'regije_občine 212'!$D$4:$D$215,'regije_občine 212'!$B$4:$B$215),"")</f>
        <v>Osrednjeslovenska</v>
      </c>
      <c r="I19" s="12" t="str">
        <f t="shared" si="0"/>
        <v/>
      </c>
    </row>
    <row r="20" spans="1:9" x14ac:dyDescent="0.3">
      <c r="A20">
        <v>316</v>
      </c>
      <c r="B20">
        <v>1235</v>
      </c>
      <c r="C20" t="s">
        <v>231</v>
      </c>
      <c r="D20" t="s">
        <v>191</v>
      </c>
      <c r="E20">
        <f>_xlfn.XLOOKUP(D20,Regije!B:B,Regije!A:A)</f>
        <v>8</v>
      </c>
      <c r="F20" t="b">
        <f>_xlfn.IFNA(_xlfn.XLOOKUP(C20,'regije_občine 212'!$D$4:$D$215,'regije_občine 212'!$D$4:$D$215)=C20,FALSE)</f>
        <v>0</v>
      </c>
      <c r="H20" t="str">
        <f>_xlfn.IFNA(_xlfn.XLOOKUP(C20,'regije_občine 212'!$D$4:$D$215,'regije_občine 212'!$B$4:$B$215),"")</f>
        <v/>
      </c>
      <c r="I20" s="12" t="str">
        <f t="shared" si="0"/>
        <v/>
      </c>
    </row>
    <row r="21" spans="1:9" x14ac:dyDescent="0.3">
      <c r="A21">
        <v>424</v>
      </c>
      <c r="B21">
        <v>1236</v>
      </c>
      <c r="C21" t="s">
        <v>243</v>
      </c>
      <c r="D21" t="s">
        <v>191</v>
      </c>
      <c r="E21">
        <f>_xlfn.XLOOKUP(D21,Regije!B:B,Regije!A:A)</f>
        <v>8</v>
      </c>
      <c r="F21" t="b">
        <f>_xlfn.IFNA(_xlfn.XLOOKUP(C21,'regije_občine 212'!$D$4:$D$215,'regije_občine 212'!$D$4:$D$215)=C21,FALSE)</f>
        <v>1</v>
      </c>
      <c r="H21" t="str">
        <f>_xlfn.IFNA(_xlfn.XLOOKUP(C21,'regije_občine 212'!$D$4:$D$215,'regije_občine 212'!$B$4:$B$215),"")</f>
        <v>Osrednjeslovenska</v>
      </c>
      <c r="I21" s="12" t="str">
        <f t="shared" si="0"/>
        <v/>
      </c>
    </row>
    <row r="22" spans="1:9" x14ac:dyDescent="0.3">
      <c r="A22">
        <v>140</v>
      </c>
      <c r="B22">
        <v>1241</v>
      </c>
      <c r="C22" t="s">
        <v>205</v>
      </c>
      <c r="D22" t="s">
        <v>191</v>
      </c>
      <c r="E22">
        <f>_xlfn.XLOOKUP(D22,Regije!B:B,Regije!A:A)</f>
        <v>8</v>
      </c>
      <c r="F22" t="b">
        <f>_xlfn.IFNA(_xlfn.XLOOKUP(C22,'regije_občine 212'!$D$4:$D$215,'regije_občine 212'!$D$4:$D$215)=C22,FALSE)</f>
        <v>1</v>
      </c>
      <c r="H22" t="str">
        <f>_xlfn.IFNA(_xlfn.XLOOKUP(C22,'regije_občine 212'!$D$4:$D$215,'regije_občine 212'!$B$4:$B$215),"")</f>
        <v>Osrednjeslovenska</v>
      </c>
      <c r="I22" s="12" t="str">
        <f t="shared" si="0"/>
        <v/>
      </c>
    </row>
    <row r="23" spans="1:9" x14ac:dyDescent="0.3">
      <c r="A23">
        <v>363</v>
      </c>
      <c r="B23">
        <v>1242</v>
      </c>
      <c r="C23" t="s">
        <v>236</v>
      </c>
      <c r="D23" t="s">
        <v>191</v>
      </c>
      <c r="E23">
        <f>_xlfn.XLOOKUP(D23,Regije!B:B,Regije!A:A)</f>
        <v>8</v>
      </c>
      <c r="F23" t="b">
        <f>_xlfn.IFNA(_xlfn.XLOOKUP(C23,'regije_občine 212'!$D$4:$D$215,'regije_občine 212'!$D$4:$D$215)=C23,FALSE)</f>
        <v>0</v>
      </c>
      <c r="H23" t="str">
        <f>_xlfn.IFNA(_xlfn.XLOOKUP(C23,'regije_občine 212'!$D$4:$D$215,'regije_občine 212'!$B$4:$B$215),"")</f>
        <v/>
      </c>
      <c r="I23" s="12" t="str">
        <f t="shared" si="0"/>
        <v/>
      </c>
    </row>
    <row r="24" spans="1:9" x14ac:dyDescent="0.3">
      <c r="A24">
        <v>237</v>
      </c>
      <c r="B24">
        <v>1251</v>
      </c>
      <c r="C24" t="s">
        <v>224</v>
      </c>
      <c r="D24" t="s">
        <v>191</v>
      </c>
      <c r="E24">
        <f>_xlfn.XLOOKUP(D24,Regije!B:B,Regije!A:A)</f>
        <v>8</v>
      </c>
      <c r="F24" t="b">
        <f>_xlfn.IFNA(_xlfn.XLOOKUP(C24,'regije_občine 212'!$D$4:$D$215,'regije_občine 212'!$D$4:$D$215)=C24,FALSE)</f>
        <v>1</v>
      </c>
      <c r="H24" t="str">
        <f>_xlfn.IFNA(_xlfn.XLOOKUP(C24,'regije_občine 212'!$D$4:$D$215,'regije_občine 212'!$B$4:$B$215),"")</f>
        <v>Osrednjeslovenska</v>
      </c>
      <c r="I24" s="12" t="str">
        <f t="shared" si="0"/>
        <v/>
      </c>
    </row>
    <row r="25" spans="1:9" x14ac:dyDescent="0.3">
      <c r="A25">
        <v>430</v>
      </c>
      <c r="B25">
        <v>1252</v>
      </c>
      <c r="C25" t="s">
        <v>245</v>
      </c>
      <c r="D25" t="s">
        <v>191</v>
      </c>
      <c r="E25">
        <f>_xlfn.XLOOKUP(D25,Regije!B:B,Regije!A:A)</f>
        <v>8</v>
      </c>
      <c r="F25" t="b">
        <f>_xlfn.IFNA(_xlfn.XLOOKUP(C25,'regije_občine 212'!$D$4:$D$215,'regije_občine 212'!$D$4:$D$215)=C25,FALSE)</f>
        <v>0</v>
      </c>
      <c r="H25" t="str">
        <f>_xlfn.IFNA(_xlfn.XLOOKUP(C25,'regije_občine 212'!$D$4:$D$215,'regije_občine 212'!$B$4:$B$215),"")</f>
        <v/>
      </c>
      <c r="I25" s="12" t="str">
        <f t="shared" si="0"/>
        <v/>
      </c>
    </row>
    <row r="26" spans="1:9" x14ac:dyDescent="0.3">
      <c r="A26">
        <v>194</v>
      </c>
      <c r="B26">
        <v>1260</v>
      </c>
      <c r="C26" t="s">
        <v>215</v>
      </c>
      <c r="D26" t="s">
        <v>191</v>
      </c>
      <c r="E26">
        <f>_xlfn.XLOOKUP(D26,Regije!B:B,Regije!A:A)</f>
        <v>8</v>
      </c>
      <c r="F26" t="b">
        <f>_xlfn.IFNA(_xlfn.XLOOKUP(C26,'regije_občine 212'!$D$4:$D$215,'regije_občine 212'!$D$4:$D$215)=C26,FALSE)</f>
        <v>0</v>
      </c>
      <c r="H26" t="str">
        <f>_xlfn.IFNA(_xlfn.XLOOKUP(C26,'regije_občine 212'!$D$4:$D$215,'regije_občine 212'!$B$4:$B$215),"")</f>
        <v/>
      </c>
      <c r="I26" s="12" t="str">
        <f t="shared" si="0"/>
        <v/>
      </c>
    </row>
    <row r="27" spans="1:9" x14ac:dyDescent="0.3">
      <c r="A27">
        <v>193</v>
      </c>
      <c r="B27">
        <v>1261</v>
      </c>
      <c r="C27" t="s">
        <v>214</v>
      </c>
      <c r="D27" t="s">
        <v>191</v>
      </c>
      <c r="E27">
        <f>_xlfn.XLOOKUP(D27,Regije!B:B,Regije!A:A)</f>
        <v>8</v>
      </c>
      <c r="F27" t="b">
        <f>_xlfn.IFNA(_xlfn.XLOOKUP(C27,'regije_občine 212'!$D$4:$D$215,'regije_občine 212'!$D$4:$D$215)=C27,FALSE)</f>
        <v>0</v>
      </c>
      <c r="H27" t="str">
        <f>_xlfn.IFNA(_xlfn.XLOOKUP(C27,'regije_občine 212'!$D$4:$D$215,'regije_občine 212'!$B$4:$B$215),"")</f>
        <v/>
      </c>
      <c r="I27" s="12" t="str">
        <f t="shared" si="0"/>
        <v/>
      </c>
    </row>
    <row r="28" spans="1:9" x14ac:dyDescent="0.3">
      <c r="A28">
        <v>73</v>
      </c>
      <c r="B28">
        <v>1262</v>
      </c>
      <c r="C28" t="s">
        <v>196</v>
      </c>
      <c r="D28" t="s">
        <v>191</v>
      </c>
      <c r="E28">
        <f>_xlfn.XLOOKUP(D28,Regije!B:B,Regije!A:A)</f>
        <v>8</v>
      </c>
      <c r="F28" t="b">
        <f>_xlfn.IFNA(_xlfn.XLOOKUP(C28,'regije_občine 212'!$D$4:$D$215,'regije_občine 212'!$D$4:$D$215)=C28,FALSE)</f>
        <v>1</v>
      </c>
      <c r="H28" t="str">
        <f>_xlfn.IFNA(_xlfn.XLOOKUP(C28,'regije_občine 212'!$D$4:$D$215,'regije_občine 212'!$B$4:$B$215),"")</f>
        <v>Osrednjeslovenska</v>
      </c>
      <c r="I28" s="12" t="str">
        <f t="shared" si="0"/>
        <v/>
      </c>
    </row>
    <row r="29" spans="1:9" x14ac:dyDescent="0.3">
      <c r="A29">
        <v>188</v>
      </c>
      <c r="B29">
        <v>1270</v>
      </c>
      <c r="C29" t="s">
        <v>210</v>
      </c>
      <c r="D29" s="10" t="s">
        <v>491</v>
      </c>
      <c r="E29">
        <f>_xlfn.XLOOKUP(D29,Regije!B:B,Regije!A:A)</f>
        <v>5</v>
      </c>
      <c r="F29" t="b">
        <f>_xlfn.IFNA(_xlfn.XLOOKUP(C29,'regije_občine 212'!$D$4:$D$215,'regije_občine 212'!$D$4:$D$215)=C29,FALSE)</f>
        <v>1</v>
      </c>
      <c r="H29" t="str">
        <f>_xlfn.IFNA(_xlfn.XLOOKUP(C29,'regije_občine 212'!$D$4:$D$215,'regije_občine 212'!$B$4:$B$215),"")</f>
        <v>Zasavska</v>
      </c>
      <c r="I29" s="12" t="str">
        <f t="shared" si="0"/>
        <v/>
      </c>
    </row>
    <row r="30" spans="1:9" x14ac:dyDescent="0.3">
      <c r="A30">
        <v>292</v>
      </c>
      <c r="B30">
        <v>1272</v>
      </c>
      <c r="C30" t="s">
        <v>228</v>
      </c>
      <c r="D30" t="s">
        <v>191</v>
      </c>
      <c r="E30">
        <f>_xlfn.XLOOKUP(D30,Regije!B:B,Regije!A:A)</f>
        <v>8</v>
      </c>
      <c r="F30" t="b">
        <f>_xlfn.IFNA(_xlfn.XLOOKUP(C30,'regije_občine 212'!$D$4:$D$215,'regije_občine 212'!$D$4:$D$215)=C30,FALSE)</f>
        <v>0</v>
      </c>
      <c r="H30" t="str">
        <f>_xlfn.IFNA(_xlfn.XLOOKUP(C30,'regije_občine 212'!$D$4:$D$215,'regije_občine 212'!$B$4:$B$215),"")</f>
        <v/>
      </c>
      <c r="I30" s="12" t="str">
        <f t="shared" si="0"/>
        <v/>
      </c>
    </row>
    <row r="31" spans="1:9" x14ac:dyDescent="0.3">
      <c r="A31">
        <v>74</v>
      </c>
      <c r="B31">
        <v>1273</v>
      </c>
      <c r="C31" t="s">
        <v>197</v>
      </c>
      <c r="D31" t="s">
        <v>191</v>
      </c>
      <c r="E31">
        <f>_xlfn.XLOOKUP(D31,Regije!B:B,Regije!A:A)</f>
        <v>8</v>
      </c>
      <c r="F31" t="b">
        <f>_xlfn.IFNA(_xlfn.XLOOKUP(C31,'regije_občine 212'!$D$4:$D$215,'regije_občine 212'!$D$4:$D$215)=C31,FALSE)</f>
        <v>0</v>
      </c>
      <c r="H31" t="str">
        <f>_xlfn.IFNA(_xlfn.XLOOKUP(C31,'regije_občine 212'!$D$4:$D$215,'regije_občine 212'!$B$4:$B$215),"")</f>
        <v/>
      </c>
      <c r="I31" s="12" t="str">
        <f t="shared" si="0"/>
        <v/>
      </c>
    </row>
    <row r="32" spans="1:9" x14ac:dyDescent="0.3">
      <c r="A32">
        <v>91</v>
      </c>
      <c r="B32">
        <v>1274</v>
      </c>
      <c r="C32" t="s">
        <v>199</v>
      </c>
      <c r="D32" t="s">
        <v>191</v>
      </c>
      <c r="E32">
        <f>_xlfn.XLOOKUP(D32,Regije!B:B,Regije!A:A)</f>
        <v>8</v>
      </c>
      <c r="F32" t="b">
        <f>_xlfn.IFNA(_xlfn.XLOOKUP(C32,'regije_občine 212'!$D$4:$D$215,'regije_občine 212'!$D$4:$D$215)=C32,FALSE)</f>
        <v>0</v>
      </c>
      <c r="H32" t="str">
        <f>_xlfn.IFNA(_xlfn.XLOOKUP(C32,'regije_občine 212'!$D$4:$D$215,'regije_občine 212'!$B$4:$B$215),"")</f>
        <v/>
      </c>
      <c r="I32" s="12" t="str">
        <f t="shared" si="0"/>
        <v/>
      </c>
    </row>
    <row r="33" spans="1:9" x14ac:dyDescent="0.3">
      <c r="A33">
        <v>406</v>
      </c>
      <c r="B33">
        <v>1275</v>
      </c>
      <c r="C33" t="s">
        <v>241</v>
      </c>
      <c r="D33" t="s">
        <v>191</v>
      </c>
      <c r="E33">
        <f>_xlfn.XLOOKUP(D33,Regije!B:B,Regije!A:A)</f>
        <v>8</v>
      </c>
      <c r="F33" t="b">
        <f>_xlfn.IFNA(_xlfn.XLOOKUP(C33,'regije_občine 212'!$D$4:$D$215,'regije_občine 212'!$D$4:$D$215)=C33,FALSE)</f>
        <v>1</v>
      </c>
      <c r="H33" t="str">
        <f>_xlfn.IFNA(_xlfn.XLOOKUP(C33,'regije_občine 212'!$D$4:$D$215,'regije_občine 212'!$B$4:$B$215),"")</f>
        <v>Osrednjeslovenska</v>
      </c>
      <c r="I33" s="12" t="str">
        <f t="shared" si="0"/>
        <v/>
      </c>
    </row>
    <row r="34" spans="1:9" x14ac:dyDescent="0.3">
      <c r="A34">
        <v>305</v>
      </c>
      <c r="B34">
        <v>1276</v>
      </c>
      <c r="C34" t="s">
        <v>230</v>
      </c>
      <c r="D34" t="s">
        <v>191</v>
      </c>
      <c r="E34">
        <f>_xlfn.XLOOKUP(D34,Regije!B:B,Regije!A:A)</f>
        <v>8</v>
      </c>
      <c r="F34" t="b">
        <f>_xlfn.IFNA(_xlfn.XLOOKUP(C34,'regije_občine 212'!$D$4:$D$215,'regije_občine 212'!$D$4:$D$215)=C34,FALSE)</f>
        <v>0</v>
      </c>
      <c r="H34" t="str">
        <f>_xlfn.IFNA(_xlfn.XLOOKUP(C34,'regije_občine 212'!$D$4:$D$215,'regije_občine 212'!$B$4:$B$215),"")</f>
        <v/>
      </c>
      <c r="I34" s="12" t="str">
        <f t="shared" si="0"/>
        <v/>
      </c>
    </row>
    <row r="35" spans="1:9" x14ac:dyDescent="0.3">
      <c r="A35">
        <v>168</v>
      </c>
      <c r="B35">
        <v>1281</v>
      </c>
      <c r="C35" t="s">
        <v>207</v>
      </c>
      <c r="D35" t="s">
        <v>191</v>
      </c>
      <c r="E35">
        <f>_xlfn.XLOOKUP(D35,Regije!B:B,Regije!A:A)</f>
        <v>8</v>
      </c>
      <c r="F35" t="b">
        <f>_xlfn.IFNA(_xlfn.XLOOKUP(C35,'regije_občine 212'!$D$4:$D$215,'regije_občine 212'!$D$4:$D$215)=C35,FALSE)</f>
        <v>0</v>
      </c>
      <c r="H35" t="str">
        <f>_xlfn.IFNA(_xlfn.XLOOKUP(C35,'regije_občine 212'!$D$4:$D$215,'regije_občine 212'!$B$4:$B$215),"")</f>
        <v/>
      </c>
      <c r="I35" s="12" t="str">
        <f t="shared" si="0"/>
        <v/>
      </c>
    </row>
    <row r="36" spans="1:9" x14ac:dyDescent="0.3">
      <c r="A36">
        <v>335</v>
      </c>
      <c r="B36">
        <v>1282</v>
      </c>
      <c r="C36" t="s">
        <v>234</v>
      </c>
      <c r="D36" t="s">
        <v>191</v>
      </c>
      <c r="E36">
        <f>_xlfn.XLOOKUP(D36,Regije!B:B,Regije!A:A)</f>
        <v>8</v>
      </c>
      <c r="F36" t="b">
        <f>_xlfn.IFNA(_xlfn.XLOOKUP(C36,'regije_občine 212'!$D$4:$D$215,'regije_občine 212'!$D$4:$D$215)=C36,FALSE)</f>
        <v>0</v>
      </c>
      <c r="H36" t="str">
        <f>_xlfn.IFNA(_xlfn.XLOOKUP(C36,'regije_občine 212'!$D$4:$D$215,'regije_občine 212'!$B$4:$B$215),"")</f>
        <v/>
      </c>
      <c r="I36" s="12" t="str">
        <f t="shared" si="0"/>
        <v/>
      </c>
    </row>
    <row r="37" spans="1:9" x14ac:dyDescent="0.3">
      <c r="A37">
        <v>110</v>
      </c>
      <c r="B37">
        <v>1290</v>
      </c>
      <c r="C37" t="s">
        <v>200</v>
      </c>
      <c r="D37" t="s">
        <v>191</v>
      </c>
      <c r="E37">
        <f>_xlfn.XLOOKUP(D37,Regije!B:B,Regije!A:A)</f>
        <v>8</v>
      </c>
      <c r="F37" t="b">
        <f>_xlfn.IFNA(_xlfn.XLOOKUP(C37,'regije_občine 212'!$D$4:$D$215,'regije_občine 212'!$D$4:$D$215)=C37,FALSE)</f>
        <v>1</v>
      </c>
      <c r="H37" t="str">
        <f>_xlfn.IFNA(_xlfn.XLOOKUP(C37,'regije_občine 212'!$D$4:$D$215,'regije_občine 212'!$B$4:$B$215),"")</f>
        <v>Osrednjeslovenska</v>
      </c>
      <c r="I37" s="12" t="str">
        <f t="shared" si="0"/>
        <v/>
      </c>
    </row>
    <row r="38" spans="1:9" x14ac:dyDescent="0.3">
      <c r="A38">
        <v>398</v>
      </c>
      <c r="B38">
        <v>1291</v>
      </c>
      <c r="C38" t="s">
        <v>239</v>
      </c>
      <c r="D38" t="s">
        <v>191</v>
      </c>
      <c r="E38">
        <f>_xlfn.XLOOKUP(D38,Regije!B:B,Regije!A:A)</f>
        <v>8</v>
      </c>
      <c r="F38" t="b">
        <f>_xlfn.IFNA(_xlfn.XLOOKUP(C38,'regije_občine 212'!$D$4:$D$215,'regije_občine 212'!$D$4:$D$215)=C38,FALSE)</f>
        <v>1</v>
      </c>
      <c r="H38" t="str">
        <f>_xlfn.IFNA(_xlfn.XLOOKUP(C38,'regije_občine 212'!$D$4:$D$215,'regije_občine 212'!$B$4:$B$215),"")</f>
        <v>Osrednjeslovenska</v>
      </c>
      <c r="I38" s="12" t="str">
        <f t="shared" si="0"/>
        <v/>
      </c>
    </row>
    <row r="39" spans="1:9" x14ac:dyDescent="0.3">
      <c r="A39">
        <v>121</v>
      </c>
      <c r="B39">
        <v>1292</v>
      </c>
      <c r="C39" t="s">
        <v>203</v>
      </c>
      <c r="D39" t="s">
        <v>191</v>
      </c>
      <c r="E39">
        <f>_xlfn.XLOOKUP(D39,Regije!B:B,Regije!A:A)</f>
        <v>8</v>
      </c>
      <c r="F39" t="b">
        <f>_xlfn.IFNA(_xlfn.XLOOKUP(C39,'regije_občine 212'!$D$4:$D$215,'regije_občine 212'!$D$4:$D$215)=C39,FALSE)</f>
        <v>1</v>
      </c>
      <c r="H39" t="str">
        <f>_xlfn.IFNA(_xlfn.XLOOKUP(C39,'regije_občine 212'!$D$4:$D$215,'regije_občine 212'!$B$4:$B$215),"")</f>
        <v>Osrednjeslovenska</v>
      </c>
      <c r="I39" s="12" t="str">
        <f t="shared" si="0"/>
        <v/>
      </c>
    </row>
    <row r="40" spans="1:9" x14ac:dyDescent="0.3">
      <c r="A40">
        <v>400</v>
      </c>
      <c r="B40">
        <v>1293</v>
      </c>
      <c r="C40" t="s">
        <v>240</v>
      </c>
      <c r="D40" t="s">
        <v>191</v>
      </c>
      <c r="E40">
        <f>_xlfn.XLOOKUP(D40,Regije!B:B,Regije!A:A)</f>
        <v>8</v>
      </c>
      <c r="F40" t="b">
        <f>_xlfn.IFNA(_xlfn.XLOOKUP(C40,'regije_občine 212'!$D$4:$D$215,'regije_občine 212'!$D$4:$D$215)=C40,FALSE)</f>
        <v>0</v>
      </c>
      <c r="H40" t="str">
        <f>_xlfn.IFNA(_xlfn.XLOOKUP(C40,'regije_občine 212'!$D$4:$D$215,'regije_občine 212'!$B$4:$B$215),"")</f>
        <v/>
      </c>
      <c r="I40" s="12" t="str">
        <f t="shared" si="0"/>
        <v/>
      </c>
    </row>
    <row r="41" spans="1:9" x14ac:dyDescent="0.3">
      <c r="A41">
        <v>444</v>
      </c>
      <c r="B41">
        <v>1294</v>
      </c>
      <c r="C41" t="s">
        <v>248</v>
      </c>
      <c r="D41" t="s">
        <v>191</v>
      </c>
      <c r="E41">
        <f>_xlfn.XLOOKUP(D41,Regije!B:B,Regije!A:A)</f>
        <v>8</v>
      </c>
      <c r="F41" t="b">
        <f>_xlfn.IFNA(_xlfn.XLOOKUP(C41,'regije_občine 212'!$D$4:$D$215,'regije_občine 212'!$D$4:$D$215)=C41,FALSE)</f>
        <v>0</v>
      </c>
      <c r="H41" t="str">
        <f>_xlfn.IFNA(_xlfn.XLOOKUP(C41,'regije_občine 212'!$D$4:$D$215,'regije_občine 212'!$B$4:$B$215),"")</f>
        <v/>
      </c>
      <c r="I41" s="12" t="str">
        <f t="shared" si="0"/>
        <v/>
      </c>
    </row>
    <row r="42" spans="1:9" x14ac:dyDescent="0.3">
      <c r="A42">
        <v>124</v>
      </c>
      <c r="B42">
        <v>1295</v>
      </c>
      <c r="C42" t="s">
        <v>204</v>
      </c>
      <c r="D42" t="s">
        <v>191</v>
      </c>
      <c r="E42">
        <f>_xlfn.XLOOKUP(D42,Regije!B:B,Regije!A:A)</f>
        <v>8</v>
      </c>
      <c r="F42" t="b">
        <f>_xlfn.IFNA(_xlfn.XLOOKUP(C42,'regije_občine 212'!$D$4:$D$215,'regije_občine 212'!$D$4:$D$215)=C42,FALSE)</f>
        <v>1</v>
      </c>
      <c r="H42" t="str">
        <f>_xlfn.IFNA(_xlfn.XLOOKUP(C42,'regije_občine 212'!$D$4:$D$215,'regije_občine 212'!$B$4:$B$215),"")</f>
        <v>Osrednjeslovenska</v>
      </c>
      <c r="I42" s="12" t="str">
        <f t="shared" si="0"/>
        <v/>
      </c>
    </row>
    <row r="43" spans="1:9" x14ac:dyDescent="0.3">
      <c r="A43">
        <v>393</v>
      </c>
      <c r="B43">
        <v>1296</v>
      </c>
      <c r="C43" t="s">
        <v>238</v>
      </c>
      <c r="D43" t="s">
        <v>191</v>
      </c>
      <c r="E43">
        <f>_xlfn.XLOOKUP(D43,Regije!B:B,Regije!A:A)</f>
        <v>8</v>
      </c>
      <c r="F43" t="b">
        <f>_xlfn.IFNA(_xlfn.XLOOKUP(C43,'regije_občine 212'!$D$4:$D$215,'regije_občine 212'!$D$4:$D$215)=C43,FALSE)</f>
        <v>0</v>
      </c>
      <c r="H43" t="str">
        <f>_xlfn.IFNA(_xlfn.XLOOKUP(C43,'regije_občine 212'!$D$4:$D$215,'regije_občine 212'!$B$4:$B$215),"")</f>
        <v/>
      </c>
      <c r="I43" s="12" t="str">
        <f t="shared" si="0"/>
        <v/>
      </c>
    </row>
    <row r="44" spans="1:9" x14ac:dyDescent="0.3">
      <c r="A44">
        <v>172</v>
      </c>
      <c r="B44">
        <v>1301</v>
      </c>
      <c r="C44" t="s">
        <v>208</v>
      </c>
      <c r="D44" t="s">
        <v>191</v>
      </c>
      <c r="E44">
        <f>_xlfn.XLOOKUP(D44,Regije!B:B,Regije!A:A)</f>
        <v>8</v>
      </c>
      <c r="F44" t="b">
        <f>_xlfn.IFNA(_xlfn.XLOOKUP(C44,'regije_občine 212'!$D$4:$D$215,'regije_občine 212'!$D$4:$D$215)=C44,FALSE)</f>
        <v>0</v>
      </c>
      <c r="H44" t="str">
        <f>_xlfn.IFNA(_xlfn.XLOOKUP(C44,'regije_občine 212'!$D$4:$D$215,'regije_občine 212'!$B$4:$B$215),"")</f>
        <v/>
      </c>
      <c r="I44" s="12" t="str">
        <f t="shared" si="0"/>
        <v/>
      </c>
    </row>
    <row r="45" spans="1:9" x14ac:dyDescent="0.3">
      <c r="A45">
        <v>458</v>
      </c>
      <c r="B45">
        <v>1303</v>
      </c>
      <c r="C45" t="s">
        <v>251</v>
      </c>
      <c r="D45" t="s">
        <v>191</v>
      </c>
      <c r="E45">
        <f>_xlfn.XLOOKUP(D45,Regije!B:B,Regije!A:A)</f>
        <v>8</v>
      </c>
      <c r="F45" t="b">
        <f>_xlfn.IFNA(_xlfn.XLOOKUP(C45,'regije_občine 212'!$D$4:$D$215,'regije_občine 212'!$D$4:$D$215)=C45,FALSE)</f>
        <v>0</v>
      </c>
      <c r="H45" t="str">
        <f>_xlfn.IFNA(_xlfn.XLOOKUP(C45,'regije_občine 212'!$D$4:$D$215,'regije_občine 212'!$B$4:$B$215),"")</f>
        <v/>
      </c>
      <c r="I45" s="12" t="str">
        <f t="shared" si="0"/>
        <v/>
      </c>
    </row>
    <row r="46" spans="1:9" x14ac:dyDescent="0.3">
      <c r="A46">
        <v>325</v>
      </c>
      <c r="B46">
        <v>1310</v>
      </c>
      <c r="C46" t="s">
        <v>123</v>
      </c>
      <c r="D46" t="s">
        <v>96</v>
      </c>
      <c r="E46">
        <f>_xlfn.XLOOKUP(D46,Regije!B:B,Regije!A:A)</f>
        <v>7</v>
      </c>
      <c r="F46" t="b">
        <f>_xlfn.IFNA(_xlfn.XLOOKUP(C46,'regije_občine 212'!$D$4:$D$215,'regije_občine 212'!$D$4:$D$215)=C46,FALSE)</f>
        <v>1</v>
      </c>
      <c r="H46" t="str">
        <f>_xlfn.IFNA(_xlfn.XLOOKUP(C46,'regije_občine 212'!$D$4:$D$215,'regije_občine 212'!$B$4:$B$215),"")</f>
        <v>Jugovzhodna Slovenija</v>
      </c>
      <c r="I46" s="12" t="str">
        <f t="shared" si="0"/>
        <v/>
      </c>
    </row>
    <row r="47" spans="1:9" x14ac:dyDescent="0.3">
      <c r="A47">
        <v>427</v>
      </c>
      <c r="B47">
        <v>1311</v>
      </c>
      <c r="C47" t="s">
        <v>244</v>
      </c>
      <c r="D47" t="s">
        <v>191</v>
      </c>
      <c r="E47">
        <f>_xlfn.XLOOKUP(D47,Regije!B:B,Regije!A:A)</f>
        <v>8</v>
      </c>
      <c r="F47" t="b">
        <f>_xlfn.IFNA(_xlfn.XLOOKUP(C47,'regije_občine 212'!$D$4:$D$215,'regije_občine 212'!$D$4:$D$215)=C47,FALSE)</f>
        <v>0</v>
      </c>
      <c r="H47" t="str">
        <f>_xlfn.IFNA(_xlfn.XLOOKUP(C47,'regije_občine 212'!$D$4:$D$215,'regije_občine 212'!$B$4:$B$215),"")</f>
        <v/>
      </c>
      <c r="I47" s="12" t="str">
        <f t="shared" si="0"/>
        <v/>
      </c>
    </row>
    <row r="48" spans="1:9" x14ac:dyDescent="0.3">
      <c r="A48">
        <v>439</v>
      </c>
      <c r="B48">
        <v>1312</v>
      </c>
      <c r="C48" t="s">
        <v>247</v>
      </c>
      <c r="D48" t="s">
        <v>191</v>
      </c>
      <c r="E48">
        <f>_xlfn.XLOOKUP(D48,Regije!B:B,Regije!A:A)</f>
        <v>8</v>
      </c>
      <c r="F48" t="b">
        <f>_xlfn.IFNA(_xlfn.XLOOKUP(C48,'regije_občine 212'!$D$4:$D$215,'regije_občine 212'!$D$4:$D$215)=C48,FALSE)</f>
        <v>0</v>
      </c>
      <c r="H48" t="str">
        <f>_xlfn.IFNA(_xlfn.XLOOKUP(C48,'regije_občine 212'!$D$4:$D$215,'regije_občine 212'!$B$4:$B$215),"")</f>
        <v/>
      </c>
      <c r="I48" s="12" t="str">
        <f t="shared" si="0"/>
        <v/>
      </c>
    </row>
    <row r="49" spans="1:9" x14ac:dyDescent="0.3">
      <c r="A49">
        <v>372</v>
      </c>
      <c r="B49">
        <v>1313</v>
      </c>
      <c r="C49" t="s">
        <v>237</v>
      </c>
      <c r="D49" t="s">
        <v>191</v>
      </c>
      <c r="E49">
        <f>_xlfn.XLOOKUP(D49,Regije!B:B,Regije!A:A)</f>
        <v>8</v>
      </c>
      <c r="F49" t="b">
        <f>_xlfn.IFNA(_xlfn.XLOOKUP(C49,'regije_občine 212'!$D$4:$D$215,'regije_občine 212'!$D$4:$D$215)=C49,FALSE)</f>
        <v>0</v>
      </c>
      <c r="H49" t="str">
        <f>_xlfn.IFNA(_xlfn.XLOOKUP(C49,'regije_občine 212'!$D$4:$D$215,'regije_občine 212'!$B$4:$B$215),"")</f>
        <v/>
      </c>
      <c r="I49" s="12" t="str">
        <f t="shared" si="0"/>
        <v/>
      </c>
    </row>
    <row r="50" spans="1:9" x14ac:dyDescent="0.3">
      <c r="A50">
        <v>328</v>
      </c>
      <c r="B50">
        <v>1314</v>
      </c>
      <c r="C50" t="s">
        <v>232</v>
      </c>
      <c r="D50" t="s">
        <v>191</v>
      </c>
      <c r="E50">
        <f>_xlfn.XLOOKUP(D50,Regije!B:B,Regije!A:A)</f>
        <v>8</v>
      </c>
      <c r="F50" t="b">
        <f>_xlfn.IFNA(_xlfn.XLOOKUP(C50,'regije_občine 212'!$D$4:$D$215,'regije_občine 212'!$D$4:$D$215)=C50,FALSE)</f>
        <v>0</v>
      </c>
      <c r="H50" t="str">
        <f>_xlfn.IFNA(_xlfn.XLOOKUP(C50,'regije_občine 212'!$D$4:$D$215,'regije_občine 212'!$B$4:$B$215),"")</f>
        <v/>
      </c>
      <c r="I50" s="12" t="str">
        <f t="shared" si="0"/>
        <v/>
      </c>
    </row>
    <row r="51" spans="1:9" x14ac:dyDescent="0.3">
      <c r="A51">
        <v>436</v>
      </c>
      <c r="B51">
        <v>1315</v>
      </c>
      <c r="C51" t="s">
        <v>246</v>
      </c>
      <c r="D51" t="s">
        <v>191</v>
      </c>
      <c r="E51">
        <f>_xlfn.XLOOKUP(D51,Regije!B:B,Regije!A:A)</f>
        <v>8</v>
      </c>
      <c r="F51" t="b">
        <f>_xlfn.IFNA(_xlfn.XLOOKUP(C51,'regije_občine 212'!$D$4:$D$215,'regije_občine 212'!$D$4:$D$215)=C51,FALSE)</f>
        <v>1</v>
      </c>
      <c r="H51" t="str">
        <f>_xlfn.IFNA(_xlfn.XLOOKUP(C51,'regije_občine 212'!$D$4:$D$215,'regije_občine 212'!$B$4:$B$215),"")</f>
        <v>Osrednjeslovenska</v>
      </c>
      <c r="I51" s="12" t="str">
        <f t="shared" si="0"/>
        <v/>
      </c>
    </row>
    <row r="52" spans="1:9" x14ac:dyDescent="0.3">
      <c r="A52">
        <v>259</v>
      </c>
      <c r="B52">
        <v>1316</v>
      </c>
      <c r="C52" t="s">
        <v>119</v>
      </c>
      <c r="D52" t="s">
        <v>96</v>
      </c>
      <c r="E52">
        <f>_xlfn.XLOOKUP(D52,Regije!B:B,Regije!A:A)</f>
        <v>7</v>
      </c>
      <c r="F52" t="b">
        <f>_xlfn.IFNA(_xlfn.XLOOKUP(C52,'regije_občine 212'!$D$4:$D$215,'regije_občine 212'!$D$4:$D$215)=C52,FALSE)</f>
        <v>0</v>
      </c>
      <c r="H52" t="str">
        <f>_xlfn.IFNA(_xlfn.XLOOKUP(C52,'regije_občine 212'!$D$4:$D$215,'regije_občine 212'!$B$4:$B$215),"")</f>
        <v/>
      </c>
      <c r="I52" s="12" t="str">
        <f t="shared" si="0"/>
        <v/>
      </c>
    </row>
    <row r="53" spans="1:9" x14ac:dyDescent="0.3">
      <c r="A53">
        <v>351</v>
      </c>
      <c r="B53">
        <v>1317</v>
      </c>
      <c r="C53" t="s">
        <v>125</v>
      </c>
      <c r="D53" t="s">
        <v>96</v>
      </c>
      <c r="E53">
        <f>_xlfn.XLOOKUP(D53,Regije!B:B,Regije!A:A)</f>
        <v>7</v>
      </c>
      <c r="F53" t="b">
        <f>_xlfn.IFNA(_xlfn.XLOOKUP(C53,'regije_občine 212'!$D$4:$D$215,'regije_občine 212'!$D$4:$D$215)=C53,FALSE)</f>
        <v>1</v>
      </c>
      <c r="H53" t="str">
        <f>_xlfn.IFNA(_xlfn.XLOOKUP(C53,'regije_občine 212'!$D$4:$D$215,'regije_občine 212'!$B$4:$B$215),"")</f>
        <v>Jugovzhodna Slovenija</v>
      </c>
      <c r="I53" s="12" t="str">
        <f t="shared" si="0"/>
        <v/>
      </c>
    </row>
    <row r="54" spans="1:9" x14ac:dyDescent="0.3">
      <c r="A54">
        <v>207</v>
      </c>
      <c r="B54">
        <v>1318</v>
      </c>
      <c r="C54" t="s">
        <v>112</v>
      </c>
      <c r="D54" t="s">
        <v>96</v>
      </c>
      <c r="E54">
        <f>_xlfn.XLOOKUP(D54,Regije!B:B,Regije!A:A)</f>
        <v>7</v>
      </c>
      <c r="F54" t="b">
        <f>_xlfn.IFNA(_xlfn.XLOOKUP(C54,'regije_občine 212'!$D$4:$D$215,'regije_občine 212'!$D$4:$D$215)=C54,FALSE)</f>
        <v>1</v>
      </c>
      <c r="H54" t="str">
        <f>_xlfn.IFNA(_xlfn.XLOOKUP(C54,'regije_občine 212'!$D$4:$D$215,'regije_občine 212'!$B$4:$B$215),"")</f>
        <v>Jugovzhodna Slovenija</v>
      </c>
      <c r="I54" s="12" t="str">
        <f t="shared" si="0"/>
        <v/>
      </c>
    </row>
    <row r="55" spans="1:9" x14ac:dyDescent="0.3">
      <c r="A55">
        <v>80</v>
      </c>
      <c r="B55">
        <v>1319</v>
      </c>
      <c r="C55" t="s">
        <v>103</v>
      </c>
      <c r="D55" t="s">
        <v>96</v>
      </c>
      <c r="E55">
        <f>_xlfn.XLOOKUP(D55,Regije!B:B,Regije!A:A)</f>
        <v>7</v>
      </c>
      <c r="F55" t="b">
        <f>_xlfn.IFNA(_xlfn.XLOOKUP(C55,'regije_občine 212'!$D$4:$D$215,'regije_občine 212'!$D$4:$D$215)=C55,FALSE)</f>
        <v>0</v>
      </c>
      <c r="H55" t="str">
        <f>_xlfn.IFNA(_xlfn.XLOOKUP(C55,'regije_občine 212'!$D$4:$D$215,'regije_občine 212'!$B$4:$B$215),"")</f>
        <v/>
      </c>
      <c r="I55" s="12" t="str">
        <f t="shared" si="0"/>
        <v/>
      </c>
    </row>
    <row r="56" spans="1:9" x14ac:dyDescent="0.3">
      <c r="A56">
        <v>149</v>
      </c>
      <c r="B56">
        <v>1330</v>
      </c>
      <c r="C56" t="s">
        <v>108</v>
      </c>
      <c r="D56" t="s">
        <v>96</v>
      </c>
      <c r="E56">
        <f>_xlfn.XLOOKUP(D56,Regije!B:B,Regije!A:A)</f>
        <v>7</v>
      </c>
      <c r="F56" t="b">
        <f>_xlfn.IFNA(_xlfn.XLOOKUP(C56,'regije_občine 212'!$D$4:$D$215,'regije_občine 212'!$D$4:$D$215)=C56,FALSE)</f>
        <v>1</v>
      </c>
      <c r="H56" t="str">
        <f>_xlfn.IFNA(_xlfn.XLOOKUP(C56,'regije_občine 212'!$D$4:$D$215,'regije_občine 212'!$B$4:$B$215),"")</f>
        <v>Jugovzhodna Slovenija</v>
      </c>
      <c r="I56" s="12" t="str">
        <f t="shared" si="0"/>
        <v/>
      </c>
    </row>
    <row r="57" spans="1:9" x14ac:dyDescent="0.3">
      <c r="A57">
        <v>75</v>
      </c>
      <c r="B57">
        <v>1331</v>
      </c>
      <c r="C57" t="s">
        <v>101</v>
      </c>
      <c r="D57" t="s">
        <v>96</v>
      </c>
      <c r="E57">
        <f>_xlfn.XLOOKUP(D57,Regije!B:B,Regije!A:A)</f>
        <v>7</v>
      </c>
      <c r="F57" t="b">
        <f>_xlfn.IFNA(_xlfn.XLOOKUP(C57,'regije_občine 212'!$D$4:$D$215,'regije_občine 212'!$D$4:$D$215)=C57,FALSE)</f>
        <v>0</v>
      </c>
      <c r="H57" t="str">
        <f>_xlfn.IFNA(_xlfn.XLOOKUP(C57,'regije_občine 212'!$D$4:$D$215,'regije_občine 212'!$B$4:$B$215),"")</f>
        <v/>
      </c>
      <c r="I57" s="12" t="str">
        <f t="shared" si="0"/>
        <v/>
      </c>
    </row>
    <row r="58" spans="1:9" x14ac:dyDescent="0.3">
      <c r="A58">
        <v>364</v>
      </c>
      <c r="B58">
        <v>1332</v>
      </c>
      <c r="C58" t="s">
        <v>126</v>
      </c>
      <c r="D58" t="s">
        <v>96</v>
      </c>
      <c r="E58">
        <f>_xlfn.XLOOKUP(D58,Regije!B:B,Regije!A:A)</f>
        <v>7</v>
      </c>
      <c r="F58" t="b">
        <f>_xlfn.IFNA(_xlfn.XLOOKUP(C58,'regije_občine 212'!$D$4:$D$215,'regije_občine 212'!$D$4:$D$215)=C58,FALSE)</f>
        <v>0</v>
      </c>
      <c r="H58" t="str">
        <f>_xlfn.IFNA(_xlfn.XLOOKUP(C58,'regije_občine 212'!$D$4:$D$215,'regije_občine 212'!$B$4:$B$215),"")</f>
        <v/>
      </c>
      <c r="I58" s="12" t="str">
        <f t="shared" si="0"/>
        <v/>
      </c>
    </row>
    <row r="59" spans="1:9" x14ac:dyDescent="0.3">
      <c r="A59">
        <v>160</v>
      </c>
      <c r="B59">
        <v>1336</v>
      </c>
      <c r="C59" t="s">
        <v>111</v>
      </c>
      <c r="D59" t="s">
        <v>96</v>
      </c>
      <c r="E59">
        <f>_xlfn.XLOOKUP(D59,Regije!B:B,Regije!A:A)</f>
        <v>7</v>
      </c>
      <c r="F59" t="b">
        <f>_xlfn.IFNA(_xlfn.XLOOKUP(C59,'regije_občine 212'!$D$4:$D$215,'regije_občine 212'!$D$4:$D$215)=C59,FALSE)</f>
        <v>1</v>
      </c>
      <c r="H59" t="str">
        <f>_xlfn.IFNA(_xlfn.XLOOKUP(C59,'regije_občine 212'!$D$4:$D$215,'regije_občine 212'!$B$4:$B$215),"")</f>
        <v>Jugovzhodna Slovenija</v>
      </c>
      <c r="I59" s="12" t="str">
        <f t="shared" si="0"/>
        <v/>
      </c>
    </row>
    <row r="60" spans="1:9" x14ac:dyDescent="0.3">
      <c r="A60">
        <v>260</v>
      </c>
      <c r="B60">
        <v>1337</v>
      </c>
      <c r="C60" t="s">
        <v>120</v>
      </c>
      <c r="D60" t="s">
        <v>96</v>
      </c>
      <c r="E60">
        <f>_xlfn.XLOOKUP(D60,Regije!B:B,Regije!A:A)</f>
        <v>7</v>
      </c>
      <c r="F60" t="b">
        <f>_xlfn.IFNA(_xlfn.XLOOKUP(C60,'regije_občine 212'!$D$4:$D$215,'regije_občine 212'!$D$4:$D$215)=C60,FALSE)</f>
        <v>1</v>
      </c>
      <c r="H60" t="str">
        <f>_xlfn.IFNA(_xlfn.XLOOKUP(C60,'regije_občine 212'!$D$4:$D$215,'regije_občine 212'!$B$4:$B$215),"")</f>
        <v>Jugovzhodna Slovenija</v>
      </c>
      <c r="I60" s="12" t="str">
        <f t="shared" si="0"/>
        <v/>
      </c>
    </row>
    <row r="61" spans="1:9" x14ac:dyDescent="0.3">
      <c r="A61">
        <v>150</v>
      </c>
      <c r="B61">
        <v>1338</v>
      </c>
      <c r="C61" t="s">
        <v>109</v>
      </c>
      <c r="D61" t="s">
        <v>96</v>
      </c>
      <c r="E61">
        <f>_xlfn.XLOOKUP(D61,Regije!B:B,Regije!A:A)</f>
        <v>7</v>
      </c>
      <c r="F61" t="b">
        <f>_xlfn.IFNA(_xlfn.XLOOKUP(C61,'regije_občine 212'!$D$4:$D$215,'regije_občine 212'!$D$4:$D$215)=C61,FALSE)</f>
        <v>0</v>
      </c>
      <c r="H61" t="str">
        <f>_xlfn.IFNA(_xlfn.XLOOKUP(C61,'regije_občine 212'!$D$4:$D$215,'regije_občine 212'!$B$4:$B$215),"")</f>
        <v/>
      </c>
      <c r="I61" s="12" t="str">
        <f t="shared" si="0"/>
        <v/>
      </c>
    </row>
    <row r="62" spans="1:9" x14ac:dyDescent="0.3">
      <c r="A62">
        <v>31</v>
      </c>
      <c r="B62">
        <v>1351</v>
      </c>
      <c r="C62" t="s">
        <v>193</v>
      </c>
      <c r="D62" t="s">
        <v>191</v>
      </c>
      <c r="E62">
        <f>_xlfn.XLOOKUP(D62,Regije!B:B,Regije!A:A)</f>
        <v>8</v>
      </c>
      <c r="F62" t="b">
        <f>_xlfn.IFNA(_xlfn.XLOOKUP(C62,'regije_občine 212'!$D$4:$D$215,'regije_občine 212'!$D$4:$D$215)=C62,FALSE)</f>
        <v>0</v>
      </c>
      <c r="H62" t="str">
        <f>_xlfn.IFNA(_xlfn.XLOOKUP(C62,'regije_občine 212'!$D$4:$D$215,'regije_občine 212'!$B$4:$B$215),"")</f>
        <v/>
      </c>
      <c r="I62" s="12" t="str">
        <f t="shared" si="0"/>
        <v/>
      </c>
    </row>
    <row r="63" spans="1:9" x14ac:dyDescent="0.3">
      <c r="A63">
        <v>301</v>
      </c>
      <c r="B63">
        <v>1352</v>
      </c>
      <c r="C63" t="s">
        <v>229</v>
      </c>
      <c r="D63" t="s">
        <v>191</v>
      </c>
      <c r="E63">
        <f>_xlfn.XLOOKUP(D63,Regije!B:B,Regije!A:A)</f>
        <v>8</v>
      </c>
      <c r="F63" t="b">
        <f>_xlfn.IFNA(_xlfn.XLOOKUP(C63,'regije_občine 212'!$D$4:$D$215,'regije_občine 212'!$D$4:$D$215)=C63,FALSE)</f>
        <v>0</v>
      </c>
      <c r="H63" t="str">
        <f>_xlfn.IFNA(_xlfn.XLOOKUP(C63,'regije_občine 212'!$D$4:$D$215,'regije_občine 212'!$B$4:$B$215),"")</f>
        <v/>
      </c>
      <c r="I63" s="12" t="str">
        <f t="shared" si="0"/>
        <v/>
      </c>
    </row>
    <row r="64" spans="1:9" x14ac:dyDescent="0.3">
      <c r="A64">
        <v>22</v>
      </c>
      <c r="B64">
        <v>1353</v>
      </c>
      <c r="C64" t="s">
        <v>192</v>
      </c>
      <c r="D64" t="s">
        <v>191</v>
      </c>
      <c r="E64">
        <f>_xlfn.XLOOKUP(D64,Regije!B:B,Regije!A:A)</f>
        <v>8</v>
      </c>
      <c r="F64" t="b">
        <f>_xlfn.IFNA(_xlfn.XLOOKUP(C64,'regije_občine 212'!$D$4:$D$215,'regije_občine 212'!$D$4:$D$215)=C64,FALSE)</f>
        <v>1</v>
      </c>
      <c r="H64" t="str">
        <f>_xlfn.IFNA(_xlfn.XLOOKUP(C64,'regije_občine 212'!$D$4:$D$215,'regije_občine 212'!$B$4:$B$215),"")</f>
        <v>Osrednjeslovenska</v>
      </c>
      <c r="I64" s="12" t="str">
        <f t="shared" si="0"/>
        <v/>
      </c>
    </row>
    <row r="65" spans="1:9" x14ac:dyDescent="0.3">
      <c r="A65">
        <v>115</v>
      </c>
      <c r="B65">
        <v>1354</v>
      </c>
      <c r="C65" t="s">
        <v>201</v>
      </c>
      <c r="D65" t="s">
        <v>191</v>
      </c>
      <c r="E65">
        <f>_xlfn.XLOOKUP(D65,Regije!B:B,Regije!A:A)</f>
        <v>8</v>
      </c>
      <c r="F65" t="b">
        <f>_xlfn.IFNA(_xlfn.XLOOKUP(C65,'regije_občine 212'!$D$4:$D$215,'regije_občine 212'!$D$4:$D$215)=C65,FALSE)</f>
        <v>1</v>
      </c>
      <c r="H65" t="str">
        <f>_xlfn.IFNA(_xlfn.XLOOKUP(C65,'regije_občine 212'!$D$4:$D$215,'regije_občine 212'!$B$4:$B$215),"")</f>
        <v>Osrednjeslovenska</v>
      </c>
      <c r="I65" s="12" t="str">
        <f t="shared" si="0"/>
        <v/>
      </c>
    </row>
    <row r="66" spans="1:9" x14ac:dyDescent="0.3">
      <c r="A66">
        <v>289</v>
      </c>
      <c r="B66">
        <v>1355</v>
      </c>
      <c r="C66" t="s">
        <v>227</v>
      </c>
      <c r="D66" t="s">
        <v>191</v>
      </c>
      <c r="E66">
        <f>_xlfn.XLOOKUP(D66,Regije!B:B,Regije!A:A)</f>
        <v>8</v>
      </c>
      <c r="F66" t="b">
        <f>_xlfn.IFNA(_xlfn.XLOOKUP(C66,'regije_občine 212'!$D$4:$D$215,'regije_občine 212'!$D$4:$D$215)=C66,FALSE)</f>
        <v>0</v>
      </c>
      <c r="H66" t="str">
        <f>_xlfn.IFNA(_xlfn.XLOOKUP(C66,'regije_občine 212'!$D$4:$D$215,'regije_občine 212'!$B$4:$B$215),"")</f>
        <v/>
      </c>
      <c r="I66" s="12" t="str">
        <f t="shared" si="0"/>
        <v/>
      </c>
    </row>
    <row r="67" spans="1:9" x14ac:dyDescent="0.3">
      <c r="A67">
        <v>69</v>
      </c>
      <c r="B67">
        <v>1356</v>
      </c>
      <c r="C67" t="s">
        <v>195</v>
      </c>
      <c r="D67" t="s">
        <v>191</v>
      </c>
      <c r="E67">
        <f>_xlfn.XLOOKUP(D67,Regije!B:B,Regije!A:A)</f>
        <v>8</v>
      </c>
      <c r="F67" t="b">
        <f>_xlfn.IFNA(_xlfn.XLOOKUP(C67,'regije_občine 212'!$D$4:$D$215,'regije_občine 212'!$D$4:$D$215)=C67,FALSE)</f>
        <v>0</v>
      </c>
      <c r="H67" t="str">
        <f>_xlfn.IFNA(_xlfn.XLOOKUP(C67,'regije_občine 212'!$D$4:$D$215,'regije_občine 212'!$B$4:$B$215),"")</f>
        <v/>
      </c>
      <c r="I67" s="12" t="str">
        <f t="shared" ref="I67:I130" si="1">IF(AND(H67&lt;&gt;"",H67&lt;&gt;D67),"drugačna regija!","")</f>
        <v/>
      </c>
    </row>
    <row r="68" spans="1:9" x14ac:dyDescent="0.3">
      <c r="A68">
        <v>247</v>
      </c>
      <c r="B68">
        <v>1357</v>
      </c>
      <c r="C68" t="s">
        <v>226</v>
      </c>
      <c r="D68" t="s">
        <v>191</v>
      </c>
      <c r="E68">
        <f>_xlfn.XLOOKUP(D68,Regije!B:B,Regije!A:A)</f>
        <v>8</v>
      </c>
      <c r="F68" t="b">
        <f>_xlfn.IFNA(_xlfn.XLOOKUP(C68,'regije_občine 212'!$D$4:$D$215,'regije_občine 212'!$D$4:$D$215)=C68,FALSE)</f>
        <v>0</v>
      </c>
      <c r="H68" t="str">
        <f>_xlfn.IFNA(_xlfn.XLOOKUP(C68,'regije_občine 212'!$D$4:$D$215,'regije_občine 212'!$B$4:$B$215),"")</f>
        <v/>
      </c>
      <c r="I68" s="12" t="str">
        <f t="shared" si="1"/>
        <v/>
      </c>
    </row>
    <row r="69" spans="1:9" x14ac:dyDescent="0.3">
      <c r="A69">
        <v>202</v>
      </c>
      <c r="B69">
        <v>1358</v>
      </c>
      <c r="C69" t="s">
        <v>219</v>
      </c>
      <c r="D69" t="s">
        <v>191</v>
      </c>
      <c r="E69">
        <f>_xlfn.XLOOKUP(D69,Regije!B:B,Regije!A:A)</f>
        <v>8</v>
      </c>
      <c r="F69" t="b">
        <f>_xlfn.IFNA(_xlfn.XLOOKUP(C69,'regije_občine 212'!$D$4:$D$215,'regije_občine 212'!$D$4:$D$215)=C69,FALSE)</f>
        <v>0</v>
      </c>
      <c r="H69" t="str">
        <f>_xlfn.IFNA(_xlfn.XLOOKUP(C69,'regije_občine 212'!$D$4:$D$215,'regije_občine 212'!$B$4:$B$215),"")</f>
        <v/>
      </c>
      <c r="I69" s="12" t="str">
        <f t="shared" si="1"/>
        <v/>
      </c>
    </row>
    <row r="70" spans="1:9" x14ac:dyDescent="0.3">
      <c r="A70">
        <v>453</v>
      </c>
      <c r="B70">
        <v>1360</v>
      </c>
      <c r="C70" t="s">
        <v>250</v>
      </c>
      <c r="D70" t="s">
        <v>191</v>
      </c>
      <c r="E70">
        <f>_xlfn.XLOOKUP(D70,Regije!B:B,Regije!A:A)</f>
        <v>8</v>
      </c>
      <c r="F70" t="b">
        <f>_xlfn.IFNA(_xlfn.XLOOKUP(C70,'regije_občine 212'!$D$4:$D$215,'regije_občine 212'!$D$4:$D$215)=C70,FALSE)</f>
        <v>1</v>
      </c>
      <c r="H70" t="str">
        <f>_xlfn.IFNA(_xlfn.XLOOKUP(C70,'regije_občine 212'!$D$4:$D$215,'regije_občine 212'!$B$4:$B$215),"")</f>
        <v>Osrednjeslovenska</v>
      </c>
      <c r="I70" s="12" t="str">
        <f t="shared" si="1"/>
        <v/>
      </c>
    </row>
    <row r="71" spans="1:9" x14ac:dyDescent="0.3">
      <c r="A71">
        <v>203</v>
      </c>
      <c r="B71">
        <v>1370</v>
      </c>
      <c r="C71" t="s">
        <v>220</v>
      </c>
      <c r="D71" t="s">
        <v>191</v>
      </c>
      <c r="E71">
        <f>_xlfn.XLOOKUP(D71,Regije!B:B,Regije!A:A)</f>
        <v>8</v>
      </c>
      <c r="F71" t="b">
        <f>_xlfn.IFNA(_xlfn.XLOOKUP(C71,'regije_občine 212'!$D$4:$D$215,'regije_občine 212'!$D$4:$D$215)=C71,FALSE)</f>
        <v>1</v>
      </c>
      <c r="H71" t="str">
        <f>_xlfn.IFNA(_xlfn.XLOOKUP(C71,'regije_občine 212'!$D$4:$D$215,'regije_občine 212'!$B$4:$B$215),"")</f>
        <v>Osrednjeslovenska</v>
      </c>
      <c r="I71" s="12" t="str">
        <f t="shared" si="1"/>
        <v/>
      </c>
    </row>
    <row r="72" spans="1:9" x14ac:dyDescent="0.3">
      <c r="A72">
        <v>116</v>
      </c>
      <c r="B72">
        <v>1372</v>
      </c>
      <c r="C72" t="s">
        <v>202</v>
      </c>
      <c r="D72" t="s">
        <v>191</v>
      </c>
      <c r="E72">
        <f>_xlfn.XLOOKUP(D72,Regije!B:B,Regije!A:A)</f>
        <v>8</v>
      </c>
      <c r="F72" t="b">
        <f>_xlfn.IFNA(_xlfn.XLOOKUP(C72,'regije_občine 212'!$D$4:$D$215,'regije_občine 212'!$D$4:$D$215)=C72,FALSE)</f>
        <v>0</v>
      </c>
      <c r="H72" t="str">
        <f>_xlfn.IFNA(_xlfn.XLOOKUP(C72,'regije_občine 212'!$D$4:$D$215,'regije_občine 212'!$B$4:$B$215),"")</f>
        <v/>
      </c>
      <c r="I72" s="12" t="str">
        <f t="shared" si="1"/>
        <v/>
      </c>
    </row>
    <row r="73" spans="1:9" x14ac:dyDescent="0.3">
      <c r="A73">
        <v>333</v>
      </c>
      <c r="B73">
        <v>1373</v>
      </c>
      <c r="C73" t="s">
        <v>233</v>
      </c>
      <c r="D73" t="s">
        <v>191</v>
      </c>
      <c r="E73">
        <f>_xlfn.XLOOKUP(D73,Regije!B:B,Regije!A:A)</f>
        <v>8</v>
      </c>
      <c r="F73" t="b">
        <f>_xlfn.IFNA(_xlfn.XLOOKUP(C73,'regije_občine 212'!$D$4:$D$215,'regije_občine 212'!$D$4:$D$215)=C73,FALSE)</f>
        <v>0</v>
      </c>
      <c r="H73" t="str">
        <f>_xlfn.IFNA(_xlfn.XLOOKUP(C73,'regije_občine 212'!$D$4:$D$215,'regije_občine 212'!$B$4:$B$215),"")</f>
        <v/>
      </c>
      <c r="I73" s="12" t="str">
        <f t="shared" si="1"/>
        <v/>
      </c>
    </row>
    <row r="74" spans="1:9" x14ac:dyDescent="0.3">
      <c r="A74">
        <v>42</v>
      </c>
      <c r="B74">
        <v>1380</v>
      </c>
      <c r="C74" t="s">
        <v>403</v>
      </c>
      <c r="D74" t="s">
        <v>402</v>
      </c>
      <c r="E74">
        <f>_xlfn.XLOOKUP(D74,Regije!B:B,Regije!A:A)</f>
        <v>10</v>
      </c>
      <c r="F74" t="b">
        <f>_xlfn.IFNA(_xlfn.XLOOKUP(C74,'regije_občine 212'!$D$4:$D$215,'regije_občine 212'!$D$4:$D$215)=C74,FALSE)</f>
        <v>1</v>
      </c>
      <c r="H74" t="str">
        <f>_xlfn.IFNA(_xlfn.XLOOKUP(C74,'regije_občine 212'!$D$4:$D$215,'regije_občine 212'!$B$4:$B$215),"")</f>
        <v>Primorsko-notranjska</v>
      </c>
      <c r="I74" s="12" t="str">
        <f t="shared" si="1"/>
        <v/>
      </c>
    </row>
    <row r="75" spans="1:9" x14ac:dyDescent="0.3">
      <c r="A75">
        <v>319</v>
      </c>
      <c r="B75">
        <v>1381</v>
      </c>
      <c r="C75" t="s">
        <v>417</v>
      </c>
      <c r="D75" t="s">
        <v>402</v>
      </c>
      <c r="E75">
        <f>_xlfn.XLOOKUP(D75,Regije!B:B,Regije!A:A)</f>
        <v>10</v>
      </c>
      <c r="F75" t="b">
        <f>_xlfn.IFNA(_xlfn.XLOOKUP(C75,'regije_občine 212'!$D$4:$D$215,'regije_občine 212'!$D$4:$D$215)=C75,FALSE)</f>
        <v>0</v>
      </c>
      <c r="H75" t="str">
        <f>_xlfn.IFNA(_xlfn.XLOOKUP(C75,'regije_občine 212'!$D$4:$D$215,'regije_občine 212'!$B$4:$B$215),"")</f>
        <v/>
      </c>
      <c r="I75" s="12" t="str">
        <f t="shared" si="1"/>
        <v/>
      </c>
    </row>
    <row r="76" spans="1:9" x14ac:dyDescent="0.3">
      <c r="A76">
        <v>7</v>
      </c>
      <c r="B76">
        <v>1382</v>
      </c>
      <c r="C76" t="s">
        <v>401</v>
      </c>
      <c r="D76" t="s">
        <v>402</v>
      </c>
      <c r="E76">
        <f>_xlfn.XLOOKUP(D76,Regije!B:B,Regije!A:A)</f>
        <v>10</v>
      </c>
      <c r="F76" t="b">
        <f>_xlfn.IFNA(_xlfn.XLOOKUP(C76,'regije_občine 212'!$D$4:$D$215,'regije_občine 212'!$D$4:$D$215)=C76,FALSE)</f>
        <v>0</v>
      </c>
      <c r="H76" t="str">
        <f>_xlfn.IFNA(_xlfn.XLOOKUP(C76,'regije_občine 212'!$D$4:$D$215,'regije_občine 212'!$B$4:$B$215),"")</f>
        <v/>
      </c>
      <c r="I76" s="12" t="str">
        <f t="shared" si="1"/>
        <v/>
      </c>
    </row>
    <row r="77" spans="1:9" x14ac:dyDescent="0.3">
      <c r="A77">
        <v>105</v>
      </c>
      <c r="B77">
        <v>1384</v>
      </c>
      <c r="C77" t="s">
        <v>404</v>
      </c>
      <c r="D77" t="s">
        <v>402</v>
      </c>
      <c r="E77">
        <f>_xlfn.XLOOKUP(D77,Regije!B:B,Regije!A:A)</f>
        <v>10</v>
      </c>
      <c r="F77" t="b">
        <f>_xlfn.IFNA(_xlfn.XLOOKUP(C77,'regije_občine 212'!$D$4:$D$215,'regije_občine 212'!$D$4:$D$215)=C77,FALSE)</f>
        <v>0</v>
      </c>
      <c r="H77" t="str">
        <f>_xlfn.IFNA(_xlfn.XLOOKUP(C77,'regije_občine 212'!$D$4:$D$215,'regije_občine 212'!$B$4:$B$215),"")</f>
        <v/>
      </c>
      <c r="I77" s="12" t="str">
        <f t="shared" si="1"/>
        <v/>
      </c>
    </row>
    <row r="78" spans="1:9" x14ac:dyDescent="0.3">
      <c r="A78">
        <v>251</v>
      </c>
      <c r="B78">
        <v>1385</v>
      </c>
      <c r="C78" t="s">
        <v>411</v>
      </c>
      <c r="D78" t="s">
        <v>402</v>
      </c>
      <c r="E78">
        <f>_xlfn.XLOOKUP(D78,Regije!B:B,Regije!A:A)</f>
        <v>10</v>
      </c>
      <c r="F78" t="b">
        <f>_xlfn.IFNA(_xlfn.XLOOKUP(C78,'regije_občine 212'!$D$4:$D$215,'regije_občine 212'!$D$4:$D$215)=C78,FALSE)</f>
        <v>0</v>
      </c>
      <c r="H78" t="str">
        <f>_xlfn.IFNA(_xlfn.XLOOKUP(C78,'regije_občine 212'!$D$4:$D$215,'regije_občine 212'!$B$4:$B$215),"")</f>
        <v/>
      </c>
      <c r="I78" s="12" t="str">
        <f t="shared" si="1"/>
        <v/>
      </c>
    </row>
    <row r="79" spans="1:9" x14ac:dyDescent="0.3">
      <c r="A79">
        <v>366</v>
      </c>
      <c r="B79">
        <v>1386</v>
      </c>
      <c r="C79" t="s">
        <v>418</v>
      </c>
      <c r="D79" t="s">
        <v>402</v>
      </c>
      <c r="E79">
        <f>_xlfn.XLOOKUP(D79,Regije!B:B,Regije!A:A)</f>
        <v>10</v>
      </c>
      <c r="F79" t="b">
        <f>_xlfn.IFNA(_xlfn.XLOOKUP(C79,'regije_občine 212'!$D$4:$D$215,'regije_občine 212'!$D$4:$D$215)=C79,FALSE)</f>
        <v>0</v>
      </c>
      <c r="H79" t="str">
        <f>_xlfn.IFNA(_xlfn.XLOOKUP(C79,'regije_občine 212'!$D$4:$D$215,'regije_občine 212'!$B$4:$B$215),"")</f>
        <v/>
      </c>
      <c r="I79" s="12" t="str">
        <f t="shared" si="1"/>
        <v/>
      </c>
    </row>
    <row r="80" spans="1:9" x14ac:dyDescent="0.3">
      <c r="A80">
        <v>457</v>
      </c>
      <c r="B80">
        <v>1410</v>
      </c>
      <c r="C80" t="s">
        <v>499</v>
      </c>
      <c r="D80" t="s">
        <v>491</v>
      </c>
      <c r="E80">
        <f>_xlfn.XLOOKUP(D80,Regije!B:B,Regije!A:A)</f>
        <v>5</v>
      </c>
      <c r="F80" t="b">
        <f>_xlfn.IFNA(_xlfn.XLOOKUP(C80,'regije_občine 212'!$D$4:$D$215,'regije_občine 212'!$D$4:$D$215)=C80,FALSE)</f>
        <v>1</v>
      </c>
      <c r="H80" t="str">
        <f>_xlfn.IFNA(_xlfn.XLOOKUP(C80,'regije_občine 212'!$D$4:$D$215,'regije_občine 212'!$B$4:$B$215),"")</f>
        <v>Zasavska</v>
      </c>
      <c r="I80" s="12" t="str">
        <f t="shared" si="1"/>
        <v/>
      </c>
    </row>
    <row r="81" spans="1:9" x14ac:dyDescent="0.3">
      <c r="A81">
        <v>126</v>
      </c>
      <c r="B81">
        <v>1411</v>
      </c>
      <c r="C81" t="s">
        <v>495</v>
      </c>
      <c r="D81" t="s">
        <v>491</v>
      </c>
      <c r="E81">
        <f>_xlfn.XLOOKUP(D81,Regije!B:B,Regije!A:A)</f>
        <v>5</v>
      </c>
      <c r="F81" t="b">
        <f>_xlfn.IFNA(_xlfn.XLOOKUP(C81,'regije_občine 212'!$D$4:$D$215,'regije_občine 212'!$D$4:$D$215)=C81,FALSE)</f>
        <v>0</v>
      </c>
      <c r="H81" t="str">
        <f>_xlfn.IFNA(_xlfn.XLOOKUP(C81,'regije_občine 212'!$D$4:$D$215,'regije_občine 212'!$B$4:$B$215),"")</f>
        <v/>
      </c>
      <c r="I81" s="12" t="str">
        <f t="shared" si="1"/>
        <v/>
      </c>
    </row>
    <row r="82" spans="1:9" x14ac:dyDescent="0.3">
      <c r="A82">
        <v>145</v>
      </c>
      <c r="B82">
        <v>1412</v>
      </c>
      <c r="C82" t="s">
        <v>496</v>
      </c>
      <c r="D82" t="s">
        <v>491</v>
      </c>
      <c r="E82">
        <f>_xlfn.XLOOKUP(D82,Regije!B:B,Regije!A:A)</f>
        <v>5</v>
      </c>
      <c r="F82" t="b">
        <f>_xlfn.IFNA(_xlfn.XLOOKUP(C82,'regije_občine 212'!$D$4:$D$215,'regije_občine 212'!$D$4:$D$215)=C82,FALSE)</f>
        <v>0</v>
      </c>
      <c r="H82" t="str">
        <f>_xlfn.IFNA(_xlfn.XLOOKUP(C82,'regije_občine 212'!$D$4:$D$215,'regije_občine 212'!$B$4:$B$215),"")</f>
        <v/>
      </c>
      <c r="I82" s="12" t="str">
        <f t="shared" si="1"/>
        <v/>
      </c>
    </row>
    <row r="83" spans="1:9" x14ac:dyDescent="0.3">
      <c r="A83">
        <v>50</v>
      </c>
      <c r="B83">
        <v>1413</v>
      </c>
      <c r="C83" t="s">
        <v>490</v>
      </c>
      <c r="D83" t="s">
        <v>491</v>
      </c>
      <c r="E83">
        <f>_xlfn.XLOOKUP(D83,Regije!B:B,Regije!A:A)</f>
        <v>5</v>
      </c>
      <c r="F83" t="b">
        <f>_xlfn.IFNA(_xlfn.XLOOKUP(C83,'regije_občine 212'!$D$4:$D$215,'regije_občine 212'!$D$4:$D$215)=C83,FALSE)</f>
        <v>0</v>
      </c>
      <c r="H83" t="str">
        <f>_xlfn.IFNA(_xlfn.XLOOKUP(C83,'regije_občine 212'!$D$4:$D$215,'regije_občine 212'!$B$4:$B$215),"")</f>
        <v/>
      </c>
      <c r="I83" s="12" t="str">
        <f t="shared" si="1"/>
        <v/>
      </c>
    </row>
    <row r="84" spans="1:9" x14ac:dyDescent="0.3">
      <c r="A84">
        <v>280</v>
      </c>
      <c r="B84">
        <v>1414</v>
      </c>
      <c r="C84" t="s">
        <v>497</v>
      </c>
      <c r="D84" t="s">
        <v>491</v>
      </c>
      <c r="E84">
        <f>_xlfn.XLOOKUP(D84,Regije!B:B,Regije!A:A)</f>
        <v>5</v>
      </c>
      <c r="F84" t="b">
        <f>_xlfn.IFNA(_xlfn.XLOOKUP(C84,'regije_občine 212'!$D$4:$D$215,'regije_občine 212'!$D$4:$D$215)=C84,FALSE)</f>
        <v>0</v>
      </c>
      <c r="H84" t="str">
        <f>_xlfn.IFNA(_xlfn.XLOOKUP(C84,'regije_občine 212'!$D$4:$D$215,'regije_občine 212'!$B$4:$B$215),"")</f>
        <v/>
      </c>
      <c r="I84" s="12" t="str">
        <f t="shared" si="1"/>
        <v/>
      </c>
    </row>
    <row r="85" spans="1:9" x14ac:dyDescent="0.3">
      <c r="A85">
        <v>418</v>
      </c>
      <c r="B85">
        <v>1420</v>
      </c>
      <c r="C85" t="s">
        <v>498</v>
      </c>
      <c r="D85" t="s">
        <v>491</v>
      </c>
      <c r="E85">
        <f>_xlfn.XLOOKUP(D85,Regije!B:B,Regije!A:A)</f>
        <v>5</v>
      </c>
      <c r="F85" t="b">
        <f>_xlfn.IFNA(_xlfn.XLOOKUP(C85,'regije_občine 212'!$D$4:$D$215,'regije_občine 212'!$D$4:$D$215)=C85,FALSE)</f>
        <v>1</v>
      </c>
      <c r="H85" t="str">
        <f>_xlfn.IFNA(_xlfn.XLOOKUP(C85,'regije_občine 212'!$D$4:$D$215,'regije_občine 212'!$B$4:$B$215),"")</f>
        <v>Zasavska</v>
      </c>
      <c r="I85" s="12" t="str">
        <f t="shared" si="1"/>
        <v/>
      </c>
    </row>
    <row r="86" spans="1:9" x14ac:dyDescent="0.3">
      <c r="A86">
        <v>65</v>
      </c>
      <c r="B86">
        <v>1423</v>
      </c>
      <c r="C86" t="s">
        <v>492</v>
      </c>
      <c r="D86" t="s">
        <v>491</v>
      </c>
      <c r="E86">
        <f>_xlfn.XLOOKUP(D86,Regije!B:B,Regije!A:A)</f>
        <v>5</v>
      </c>
      <c r="F86" t="b">
        <f>_xlfn.IFNA(_xlfn.XLOOKUP(C86,'regije_občine 212'!$D$4:$D$215,'regije_občine 212'!$D$4:$D$215)=C86,FALSE)</f>
        <v>0</v>
      </c>
      <c r="H86" t="str">
        <f>_xlfn.IFNA(_xlfn.XLOOKUP(C86,'regije_občine 212'!$D$4:$D$215,'regije_občine 212'!$B$4:$B$215),"")</f>
        <v/>
      </c>
      <c r="I86" s="12" t="str">
        <f t="shared" si="1"/>
        <v/>
      </c>
    </row>
    <row r="87" spans="1:9" x14ac:dyDescent="0.3">
      <c r="A87">
        <v>117</v>
      </c>
      <c r="B87">
        <v>1430</v>
      </c>
      <c r="C87" t="s">
        <v>494</v>
      </c>
      <c r="D87" t="s">
        <v>491</v>
      </c>
      <c r="E87">
        <f>_xlfn.XLOOKUP(D87,Regije!B:B,Regije!A:A)</f>
        <v>5</v>
      </c>
      <c r="F87" t="b">
        <f>_xlfn.IFNA(_xlfn.XLOOKUP(C87,'regije_občine 212'!$D$4:$D$215,'regije_občine 212'!$D$4:$D$215)=C87,FALSE)</f>
        <v>1</v>
      </c>
      <c r="H87" t="str">
        <f>_xlfn.IFNA(_xlfn.XLOOKUP(C87,'regije_občine 212'!$D$4:$D$215,'regije_občine 212'!$B$4:$B$215),"")</f>
        <v>Zasavska</v>
      </c>
      <c r="I87" s="12" t="str">
        <f t="shared" si="1"/>
        <v/>
      </c>
    </row>
    <row r="88" spans="1:9" x14ac:dyDescent="0.3">
      <c r="A88">
        <v>72</v>
      </c>
      <c r="B88">
        <v>1431</v>
      </c>
      <c r="C88" t="s">
        <v>493</v>
      </c>
      <c r="D88" t="s">
        <v>491</v>
      </c>
      <c r="E88">
        <f>_xlfn.XLOOKUP(D88,Regije!B:B,Regije!A:A)</f>
        <v>5</v>
      </c>
      <c r="F88" t="b">
        <f>_xlfn.IFNA(_xlfn.XLOOKUP(C88,'regije_občine 212'!$D$4:$D$215,'regije_občine 212'!$D$4:$D$215)=C88,FALSE)</f>
        <v>0</v>
      </c>
      <c r="H88" t="str">
        <f>_xlfn.IFNA(_xlfn.XLOOKUP(C88,'regije_občine 212'!$D$4:$D$215,'regije_občine 212'!$B$4:$B$215),"")</f>
        <v/>
      </c>
      <c r="I88" s="12" t="str">
        <f t="shared" si="1"/>
        <v/>
      </c>
    </row>
    <row r="89" spans="1:9" x14ac:dyDescent="0.3">
      <c r="A89">
        <v>470</v>
      </c>
      <c r="B89">
        <v>1432</v>
      </c>
      <c r="C89" t="s">
        <v>400</v>
      </c>
      <c r="D89" t="s">
        <v>371</v>
      </c>
      <c r="E89">
        <f>_xlfn.XLOOKUP(D89,Regije!B:B,Regije!A:A)</f>
        <v>6</v>
      </c>
      <c r="F89" t="b">
        <f>_xlfn.IFNA(_xlfn.XLOOKUP(C89,'regije_občine 212'!$D$4:$D$215,'regije_občine 212'!$D$4:$D$215)=C89,FALSE)</f>
        <v>0</v>
      </c>
      <c r="H89" t="str">
        <f>_xlfn.IFNA(_xlfn.XLOOKUP(C89,'regije_občine 212'!$D$4:$D$215,'regije_občine 212'!$B$4:$B$215),"")</f>
        <v/>
      </c>
      <c r="I89" s="12" t="str">
        <f t="shared" si="1"/>
        <v/>
      </c>
    </row>
    <row r="90" spans="1:9" x14ac:dyDescent="0.3">
      <c r="A90">
        <v>313</v>
      </c>
      <c r="B90">
        <v>1433</v>
      </c>
      <c r="C90" t="s">
        <v>390</v>
      </c>
      <c r="D90" t="s">
        <v>371</v>
      </c>
      <c r="E90">
        <f>_xlfn.XLOOKUP(D90,Regije!B:B,Regije!A:A)</f>
        <v>6</v>
      </c>
      <c r="F90" t="b">
        <f>_xlfn.IFNA(_xlfn.XLOOKUP(C90,'regije_občine 212'!$D$4:$D$215,'regije_občine 212'!$D$4:$D$215)=C90,FALSE)</f>
        <v>1</v>
      </c>
      <c r="H90" t="str">
        <f>_xlfn.IFNA(_xlfn.XLOOKUP(C90,'regije_občine 212'!$D$4:$D$215,'regije_občine 212'!$B$4:$B$215),"")</f>
        <v>Posavska</v>
      </c>
      <c r="I90" s="12" t="str">
        <f t="shared" si="1"/>
        <v/>
      </c>
    </row>
    <row r="91" spans="1:9" x14ac:dyDescent="0.3">
      <c r="A91">
        <v>204</v>
      </c>
      <c r="B91">
        <v>1434</v>
      </c>
      <c r="C91" t="s">
        <v>388</v>
      </c>
      <c r="D91" t="s">
        <v>371</v>
      </c>
      <c r="E91">
        <f>_xlfn.XLOOKUP(D91,Regije!B:B,Regije!A:A)</f>
        <v>6</v>
      </c>
      <c r="F91" t="b">
        <f>_xlfn.IFNA(_xlfn.XLOOKUP(C91,'regije_občine 212'!$D$4:$D$215,'regije_občine 212'!$D$4:$D$215)=C91,FALSE)</f>
        <v>0</v>
      </c>
      <c r="H91" t="str">
        <f>_xlfn.IFNA(_xlfn.XLOOKUP(C91,'regije_občine 212'!$D$4:$D$215,'regije_občine 212'!$B$4:$B$215),"")</f>
        <v/>
      </c>
      <c r="I91" s="12" t="str">
        <f t="shared" si="1"/>
        <v/>
      </c>
    </row>
    <row r="92" spans="1:9" x14ac:dyDescent="0.3">
      <c r="A92">
        <v>218</v>
      </c>
      <c r="B92">
        <v>2000</v>
      </c>
      <c r="C92" t="s">
        <v>284</v>
      </c>
      <c r="D92" t="s">
        <v>253</v>
      </c>
      <c r="E92">
        <f>_xlfn.XLOOKUP(D92,Regije!B:B,Regije!A:A)</f>
        <v>2</v>
      </c>
      <c r="F92" t="b">
        <f>_xlfn.IFNA(_xlfn.XLOOKUP(C92,'regije_občine 212'!$D$4:$D$215,'regije_občine 212'!$D$4:$D$215)=C92,FALSE)</f>
        <v>1</v>
      </c>
      <c r="H92" t="str">
        <f>_xlfn.IFNA(_xlfn.XLOOKUP(C92,'regije_občine 212'!$D$4:$D$215,'regije_občine 212'!$B$4:$B$215),"")</f>
        <v>Podravska</v>
      </c>
      <c r="I92" s="12" t="str">
        <f t="shared" si="1"/>
        <v/>
      </c>
    </row>
    <row r="93" spans="1:9" x14ac:dyDescent="0.3">
      <c r="A93">
        <v>219</v>
      </c>
      <c r="B93">
        <v>2001</v>
      </c>
      <c r="C93" t="s">
        <v>285</v>
      </c>
      <c r="D93" t="s">
        <v>253</v>
      </c>
      <c r="E93">
        <f>_xlfn.XLOOKUP(D93,Regije!B:B,Regije!A:A)</f>
        <v>2</v>
      </c>
      <c r="F93" t="b">
        <f>_xlfn.IFNA(_xlfn.XLOOKUP(C93,'regije_občine 212'!$D$4:$D$215,'regije_občine 212'!$D$4:$D$215)=C93,FALSE)</f>
        <v>0</v>
      </c>
      <c r="H93" t="str">
        <f>_xlfn.IFNA(_xlfn.XLOOKUP(C93,'regije_občine 212'!$D$4:$D$215,'regije_občine 212'!$B$4:$B$215),"")</f>
        <v/>
      </c>
      <c r="I93" s="12" t="str">
        <f t="shared" si="1"/>
        <v/>
      </c>
    </row>
    <row r="94" spans="1:9" x14ac:dyDescent="0.3">
      <c r="A94">
        <v>463</v>
      </c>
      <c r="B94">
        <v>2201</v>
      </c>
      <c r="C94" t="s">
        <v>326</v>
      </c>
      <c r="D94" t="s">
        <v>253</v>
      </c>
      <c r="E94">
        <f>_xlfn.XLOOKUP(D94,Regije!B:B,Regije!A:A)</f>
        <v>2</v>
      </c>
      <c r="F94" t="b">
        <f>_xlfn.IFNA(_xlfn.XLOOKUP(C94,'regije_občine 212'!$D$4:$D$215,'regije_občine 212'!$D$4:$D$215)=C94,FALSE)</f>
        <v>0</v>
      </c>
      <c r="H94" t="str">
        <f>_xlfn.IFNA(_xlfn.XLOOKUP(C94,'regije_občine 212'!$D$4:$D$215,'regije_občine 212'!$B$4:$B$215),"")</f>
        <v/>
      </c>
      <c r="I94" s="12" t="str">
        <f t="shared" si="1"/>
        <v/>
      </c>
    </row>
    <row r="95" spans="1:9" x14ac:dyDescent="0.3">
      <c r="A95">
        <v>229</v>
      </c>
      <c r="B95">
        <v>2204</v>
      </c>
      <c r="C95" t="s">
        <v>288</v>
      </c>
      <c r="D95" t="s">
        <v>253</v>
      </c>
      <c r="E95">
        <f>_xlfn.XLOOKUP(D95,Regije!B:B,Regije!A:A)</f>
        <v>2</v>
      </c>
      <c r="F95" t="b">
        <f>_xlfn.IFNA(_xlfn.XLOOKUP(C95,'regije_občine 212'!$D$4:$D$215,'regije_občine 212'!$D$4:$D$215)=C95,FALSE)</f>
        <v>1</v>
      </c>
      <c r="H95" t="str">
        <f>_xlfn.IFNA(_xlfn.XLOOKUP(C95,'regije_občine 212'!$D$4:$D$215,'regije_občine 212'!$B$4:$B$215),"")</f>
        <v>Podravska</v>
      </c>
      <c r="I95" s="12" t="str">
        <f t="shared" si="1"/>
        <v/>
      </c>
    </row>
    <row r="96" spans="1:9" x14ac:dyDescent="0.3">
      <c r="A96">
        <v>367</v>
      </c>
      <c r="B96">
        <v>2205</v>
      </c>
      <c r="C96" t="s">
        <v>311</v>
      </c>
      <c r="D96" t="s">
        <v>253</v>
      </c>
      <c r="E96">
        <f>_xlfn.XLOOKUP(D96,Regije!B:B,Regije!A:A)</f>
        <v>2</v>
      </c>
      <c r="F96" t="b">
        <f>_xlfn.IFNA(_xlfn.XLOOKUP(C96,'regije_občine 212'!$D$4:$D$215,'regije_občine 212'!$D$4:$D$215)=C96,FALSE)</f>
        <v>1</v>
      </c>
      <c r="H96" t="str">
        <f>_xlfn.IFNA(_xlfn.XLOOKUP(C96,'regije_občine 212'!$D$4:$D$215,'regije_občine 212'!$B$4:$B$215),"")</f>
        <v>Podravska</v>
      </c>
      <c r="I96" s="12" t="str">
        <f t="shared" si="1"/>
        <v/>
      </c>
    </row>
    <row r="97" spans="1:9" x14ac:dyDescent="0.3">
      <c r="A97">
        <v>220</v>
      </c>
      <c r="B97">
        <v>2206</v>
      </c>
      <c r="C97" t="s">
        <v>286</v>
      </c>
      <c r="D97" t="s">
        <v>253</v>
      </c>
      <c r="E97">
        <f>_xlfn.XLOOKUP(D97,Regije!B:B,Regije!A:A)</f>
        <v>2</v>
      </c>
      <c r="F97" t="b">
        <f>_xlfn.IFNA(_xlfn.XLOOKUP(C97,'regije_občine 212'!$D$4:$D$215,'regije_občine 212'!$D$4:$D$215)=C97,FALSE)</f>
        <v>0</v>
      </c>
      <c r="H97" t="str">
        <f>_xlfn.IFNA(_xlfn.XLOOKUP(C97,'regije_občine 212'!$D$4:$D$215,'regije_občine 212'!$B$4:$B$215),"")</f>
        <v/>
      </c>
      <c r="I97" s="12" t="str">
        <f t="shared" si="1"/>
        <v/>
      </c>
    </row>
    <row r="98" spans="1:9" x14ac:dyDescent="0.3">
      <c r="A98">
        <v>287</v>
      </c>
      <c r="B98">
        <v>2208</v>
      </c>
      <c r="C98" t="s">
        <v>298</v>
      </c>
      <c r="D98" t="s">
        <v>253</v>
      </c>
      <c r="E98">
        <f>_xlfn.XLOOKUP(D98,Regije!B:B,Regije!A:A)</f>
        <v>2</v>
      </c>
      <c r="F98" t="b">
        <f>_xlfn.IFNA(_xlfn.XLOOKUP(C98,'regije_občine 212'!$D$4:$D$215,'regije_občine 212'!$D$4:$D$215)=C98,FALSE)</f>
        <v>0</v>
      </c>
      <c r="H98" t="str">
        <f>_xlfn.IFNA(_xlfn.XLOOKUP(C98,'regije_občine 212'!$D$4:$D$215,'regije_občine 212'!$B$4:$B$215),"")</f>
        <v/>
      </c>
      <c r="I98" s="12" t="str">
        <f t="shared" si="1"/>
        <v/>
      </c>
    </row>
    <row r="99" spans="1:9" x14ac:dyDescent="0.3">
      <c r="A99">
        <v>264</v>
      </c>
      <c r="B99">
        <v>2211</v>
      </c>
      <c r="C99" t="s">
        <v>295</v>
      </c>
      <c r="D99" t="s">
        <v>253</v>
      </c>
      <c r="E99">
        <f>_xlfn.XLOOKUP(D99,Regije!B:B,Regije!A:A)</f>
        <v>2</v>
      </c>
      <c r="F99" t="b">
        <f>_xlfn.IFNA(_xlfn.XLOOKUP(C99,'regije_občine 212'!$D$4:$D$215,'regije_občine 212'!$D$4:$D$215)=C99,FALSE)</f>
        <v>0</v>
      </c>
      <c r="H99" t="str">
        <f>_xlfn.IFNA(_xlfn.XLOOKUP(C99,'regije_občine 212'!$D$4:$D$215,'regije_občine 212'!$B$4:$B$215),"")</f>
        <v/>
      </c>
      <c r="I99" s="12" t="str">
        <f t="shared" si="1"/>
        <v/>
      </c>
    </row>
    <row r="100" spans="1:9" x14ac:dyDescent="0.3">
      <c r="A100">
        <v>386</v>
      </c>
      <c r="B100">
        <v>2212</v>
      </c>
      <c r="C100" t="s">
        <v>317</v>
      </c>
      <c r="D100" t="s">
        <v>253</v>
      </c>
      <c r="E100">
        <f>_xlfn.XLOOKUP(D100,Regije!B:B,Regije!A:A)</f>
        <v>2</v>
      </c>
      <c r="F100" t="b">
        <f>_xlfn.IFNA(_xlfn.XLOOKUP(C100,'regije_občine 212'!$D$4:$D$215,'regije_občine 212'!$D$4:$D$215)=C100,FALSE)</f>
        <v>0</v>
      </c>
      <c r="H100" t="str">
        <f>_xlfn.IFNA(_xlfn.XLOOKUP(C100,'regije_občine 212'!$D$4:$D$215,'regije_občine 212'!$B$4:$B$215),"")</f>
        <v/>
      </c>
      <c r="I100" s="12" t="str">
        <f t="shared" si="1"/>
        <v/>
      </c>
    </row>
    <row r="101" spans="1:9" x14ac:dyDescent="0.3">
      <c r="A101">
        <v>466</v>
      </c>
      <c r="B101">
        <v>2213</v>
      </c>
      <c r="C101" t="s">
        <v>329</v>
      </c>
      <c r="D101" t="s">
        <v>253</v>
      </c>
      <c r="E101">
        <f>_xlfn.XLOOKUP(D101,Regije!B:B,Regije!A:A)</f>
        <v>2</v>
      </c>
      <c r="F101" t="b">
        <f>_xlfn.IFNA(_xlfn.XLOOKUP(C101,'regije_občine 212'!$D$4:$D$215,'regije_občine 212'!$D$4:$D$215)=C101,FALSE)</f>
        <v>0</v>
      </c>
      <c r="H101" t="str">
        <f>_xlfn.IFNA(_xlfn.XLOOKUP(C101,'regije_občine 212'!$D$4:$D$215,'regije_občine 212'!$B$4:$B$215),"")</f>
        <v/>
      </c>
      <c r="I101" s="12" t="str">
        <f t="shared" si="1"/>
        <v/>
      </c>
    </row>
    <row r="102" spans="1:9" x14ac:dyDescent="0.3">
      <c r="A102">
        <v>344</v>
      </c>
      <c r="B102">
        <v>2214</v>
      </c>
      <c r="C102" t="s">
        <v>307</v>
      </c>
      <c r="D102" t="s">
        <v>253</v>
      </c>
      <c r="E102">
        <f>_xlfn.XLOOKUP(D102,Regije!B:B,Regije!A:A)</f>
        <v>2</v>
      </c>
      <c r="F102" t="b">
        <f>_xlfn.IFNA(_xlfn.XLOOKUP(C102,'regije_občine 212'!$D$4:$D$215,'regije_občine 212'!$D$4:$D$215)=C102,FALSE)</f>
        <v>0</v>
      </c>
      <c r="H102" t="str">
        <f>_xlfn.IFNA(_xlfn.XLOOKUP(C102,'regije_občine 212'!$D$4:$D$215,'regije_občine 212'!$B$4:$B$215),"")</f>
        <v/>
      </c>
      <c r="I102" s="12" t="str">
        <f t="shared" si="1"/>
        <v/>
      </c>
    </row>
    <row r="103" spans="1:9" x14ac:dyDescent="0.3">
      <c r="A103">
        <v>45</v>
      </c>
      <c r="B103">
        <v>2215</v>
      </c>
      <c r="C103" t="s">
        <v>257</v>
      </c>
      <c r="D103" t="s">
        <v>253</v>
      </c>
      <c r="E103">
        <f>_xlfn.XLOOKUP(D103,Regije!B:B,Regije!A:A)</f>
        <v>2</v>
      </c>
      <c r="F103" t="b">
        <f>_xlfn.IFNA(_xlfn.XLOOKUP(C103,'regije_občine 212'!$D$4:$D$215,'regije_občine 212'!$D$4:$D$215)=C103,FALSE)</f>
        <v>0</v>
      </c>
      <c r="H103" t="str">
        <f>_xlfn.IFNA(_xlfn.XLOOKUP(C103,'regije_občine 212'!$D$4:$D$215,'regije_občine 212'!$B$4:$B$215),"")</f>
        <v/>
      </c>
      <c r="I103" s="12" t="str">
        <f t="shared" si="1"/>
        <v/>
      </c>
    </row>
    <row r="104" spans="1:9" x14ac:dyDescent="0.3">
      <c r="A104">
        <v>129</v>
      </c>
      <c r="B104">
        <v>2221</v>
      </c>
      <c r="C104" t="s">
        <v>269</v>
      </c>
      <c r="D104" t="s">
        <v>253</v>
      </c>
      <c r="E104">
        <f>_xlfn.XLOOKUP(D104,Regije!B:B,Regije!A:A)</f>
        <v>2</v>
      </c>
      <c r="F104" t="b">
        <f>_xlfn.IFNA(_xlfn.XLOOKUP(C104,'regije_občine 212'!$D$4:$D$215,'regije_občine 212'!$D$4:$D$215)=C104,FALSE)</f>
        <v>0</v>
      </c>
      <c r="H104" t="str">
        <f>_xlfn.IFNA(_xlfn.XLOOKUP(C104,'regije_občine 212'!$D$4:$D$215,'regije_občine 212'!$B$4:$B$215),"")</f>
        <v/>
      </c>
      <c r="I104" s="12" t="str">
        <f t="shared" si="1"/>
        <v/>
      </c>
    </row>
    <row r="105" spans="1:9" x14ac:dyDescent="0.3">
      <c r="A105">
        <v>128</v>
      </c>
      <c r="B105">
        <v>2222</v>
      </c>
      <c r="C105" t="s">
        <v>268</v>
      </c>
      <c r="D105" t="s">
        <v>253</v>
      </c>
      <c r="E105">
        <f>_xlfn.XLOOKUP(D105,Regije!B:B,Regije!A:A)</f>
        <v>2</v>
      </c>
      <c r="F105" t="b">
        <f>_xlfn.IFNA(_xlfn.XLOOKUP(C105,'regije_občine 212'!$D$4:$D$215,'regije_občine 212'!$D$4:$D$215)=C105,FALSE)</f>
        <v>0</v>
      </c>
      <c r="H105" t="str">
        <f>_xlfn.IFNA(_xlfn.XLOOKUP(C105,'regije_občine 212'!$D$4:$D$215,'regije_občine 212'!$B$4:$B$215),"")</f>
        <v/>
      </c>
      <c r="I105" s="12" t="str">
        <f t="shared" si="1"/>
        <v/>
      </c>
    </row>
    <row r="106" spans="1:9" x14ac:dyDescent="0.3">
      <c r="A106">
        <v>134</v>
      </c>
      <c r="B106">
        <v>2223</v>
      </c>
      <c r="C106" t="s">
        <v>270</v>
      </c>
      <c r="D106" t="s">
        <v>253</v>
      </c>
      <c r="E106">
        <f>_xlfn.XLOOKUP(D106,Regije!B:B,Regije!A:A)</f>
        <v>2</v>
      </c>
      <c r="F106" t="b">
        <f>_xlfn.IFNA(_xlfn.XLOOKUP(C106,'regije_občine 212'!$D$4:$D$215,'regije_občine 212'!$D$4:$D$215)=C106,FALSE)</f>
        <v>0</v>
      </c>
      <c r="H106" t="str">
        <f>_xlfn.IFNA(_xlfn.XLOOKUP(C106,'regije_občine 212'!$D$4:$D$215,'regije_občine 212'!$B$4:$B$215),"")</f>
        <v/>
      </c>
      <c r="I106" s="12" t="str">
        <f t="shared" si="1"/>
        <v/>
      </c>
    </row>
    <row r="107" spans="1:9" x14ac:dyDescent="0.3">
      <c r="A107">
        <v>216</v>
      </c>
      <c r="B107">
        <v>2229</v>
      </c>
      <c r="C107" t="s">
        <v>283</v>
      </c>
      <c r="D107" t="s">
        <v>253</v>
      </c>
      <c r="E107">
        <f>_xlfn.XLOOKUP(D107,Regije!B:B,Regije!A:A)</f>
        <v>2</v>
      </c>
      <c r="F107" t="b">
        <f>_xlfn.IFNA(_xlfn.XLOOKUP(C107,'regije_občine 212'!$D$4:$D$215,'regije_občine 212'!$D$4:$D$215)=C107,FALSE)</f>
        <v>0</v>
      </c>
      <c r="H107" t="str">
        <f>_xlfn.IFNA(_xlfn.XLOOKUP(C107,'regije_občine 212'!$D$4:$D$215,'regije_občine 212'!$B$4:$B$215),"")</f>
        <v/>
      </c>
      <c r="I107" s="12" t="str">
        <f t="shared" si="1"/>
        <v/>
      </c>
    </row>
    <row r="108" spans="1:9" x14ac:dyDescent="0.3">
      <c r="A108">
        <v>181</v>
      </c>
      <c r="B108">
        <v>2230</v>
      </c>
      <c r="C108" t="s">
        <v>277</v>
      </c>
      <c r="D108" t="s">
        <v>253</v>
      </c>
      <c r="E108">
        <f>_xlfn.XLOOKUP(D108,Regije!B:B,Regije!A:A)</f>
        <v>2</v>
      </c>
      <c r="F108" t="b">
        <f>_xlfn.IFNA(_xlfn.XLOOKUP(C108,'regije_občine 212'!$D$4:$D$215,'regije_občine 212'!$D$4:$D$215)=C108,FALSE)</f>
        <v>0</v>
      </c>
      <c r="H108" t="str">
        <f>_xlfn.IFNA(_xlfn.XLOOKUP(C108,'regije_občine 212'!$D$4:$D$215,'regije_občine 212'!$B$4:$B$215),"")</f>
        <v/>
      </c>
      <c r="I108" s="12" t="str">
        <f t="shared" si="1"/>
        <v/>
      </c>
    </row>
    <row r="109" spans="1:9" x14ac:dyDescent="0.3">
      <c r="A109">
        <v>263</v>
      </c>
      <c r="B109">
        <v>2231</v>
      </c>
      <c r="C109" t="s">
        <v>294</v>
      </c>
      <c r="D109" t="s">
        <v>253</v>
      </c>
      <c r="E109">
        <f>_xlfn.XLOOKUP(D109,Regije!B:B,Regije!A:A)</f>
        <v>2</v>
      </c>
      <c r="F109" t="b">
        <f>_xlfn.IFNA(_xlfn.XLOOKUP(C109,'regije_občine 212'!$D$4:$D$215,'regije_občine 212'!$D$4:$D$215)=C109,FALSE)</f>
        <v>0</v>
      </c>
      <c r="H109" t="str">
        <f>_xlfn.IFNA(_xlfn.XLOOKUP(C109,'regije_občine 212'!$D$4:$D$215,'regije_občine 212'!$B$4:$B$215),"")</f>
        <v/>
      </c>
      <c r="I109" s="12" t="str">
        <f t="shared" si="1"/>
        <v/>
      </c>
    </row>
    <row r="110" spans="1:9" x14ac:dyDescent="0.3">
      <c r="A110">
        <v>450</v>
      </c>
      <c r="B110">
        <v>2232</v>
      </c>
      <c r="C110" t="s">
        <v>323</v>
      </c>
      <c r="D110" t="s">
        <v>253</v>
      </c>
      <c r="E110">
        <f>_xlfn.XLOOKUP(D110,Regije!B:B,Regije!A:A)</f>
        <v>2</v>
      </c>
      <c r="F110" t="b">
        <f>_xlfn.IFNA(_xlfn.XLOOKUP(C110,'regije_občine 212'!$D$4:$D$215,'regije_občine 212'!$D$4:$D$215)=C110,FALSE)</f>
        <v>0</v>
      </c>
      <c r="H110" t="str">
        <f>_xlfn.IFNA(_xlfn.XLOOKUP(C110,'regije_občine 212'!$D$4:$D$215,'regije_občine 212'!$B$4:$B$215),"")</f>
        <v/>
      </c>
      <c r="I110" s="12" t="str">
        <f t="shared" si="1"/>
        <v/>
      </c>
    </row>
    <row r="111" spans="1:9" x14ac:dyDescent="0.3">
      <c r="A111">
        <v>376</v>
      </c>
      <c r="B111">
        <v>2233</v>
      </c>
      <c r="C111" t="s">
        <v>314</v>
      </c>
      <c r="D111" t="s">
        <v>253</v>
      </c>
      <c r="E111">
        <f>_xlfn.XLOOKUP(D111,Regije!B:B,Regije!A:A)</f>
        <v>2</v>
      </c>
      <c r="F111" t="b">
        <f>_xlfn.IFNA(_xlfn.XLOOKUP(C111,'regije_občine 212'!$D$4:$D$215,'regije_občine 212'!$D$4:$D$215)=C111,FALSE)</f>
        <v>0</v>
      </c>
      <c r="H111" t="str">
        <f>_xlfn.IFNA(_xlfn.XLOOKUP(C111,'regije_občine 212'!$D$4:$D$215,'regije_občine 212'!$B$4:$B$215),"")</f>
        <v/>
      </c>
      <c r="I111" s="12" t="str">
        <f t="shared" si="1"/>
        <v/>
      </c>
    </row>
    <row r="112" spans="1:9" x14ac:dyDescent="0.3">
      <c r="A112">
        <v>9</v>
      </c>
      <c r="B112">
        <v>2234</v>
      </c>
      <c r="C112" t="s">
        <v>252</v>
      </c>
      <c r="D112" t="s">
        <v>253</v>
      </c>
      <c r="E112">
        <f>_xlfn.XLOOKUP(D112,Regije!B:B,Regije!A:A)</f>
        <v>2</v>
      </c>
      <c r="F112" t="b">
        <f>_xlfn.IFNA(_xlfn.XLOOKUP(C112,'regije_občine 212'!$D$4:$D$215,'regije_občine 212'!$D$4:$D$215)=C112,FALSE)</f>
        <v>1</v>
      </c>
      <c r="H112" t="str">
        <f>_xlfn.IFNA(_xlfn.XLOOKUP(C112,'regije_občine 212'!$D$4:$D$215,'regije_občine 212'!$B$4:$B$215),"")</f>
        <v>Podravska</v>
      </c>
      <c r="I112" s="12" t="str">
        <f t="shared" si="1"/>
        <v/>
      </c>
    </row>
    <row r="113" spans="1:9" x14ac:dyDescent="0.3">
      <c r="A113">
        <v>377</v>
      </c>
      <c r="B113">
        <v>2235</v>
      </c>
      <c r="C113" t="s">
        <v>315</v>
      </c>
      <c r="D113" t="s">
        <v>253</v>
      </c>
      <c r="E113">
        <f>_xlfn.XLOOKUP(D113,Regije!B:B,Regije!A:A)</f>
        <v>2</v>
      </c>
      <c r="F113" t="b">
        <f>_xlfn.IFNA(_xlfn.XLOOKUP(C113,'regije_občine 212'!$D$4:$D$215,'regije_občine 212'!$D$4:$D$215)=C113,FALSE)</f>
        <v>0</v>
      </c>
      <c r="H113" t="str">
        <f>_xlfn.IFNA(_xlfn.XLOOKUP(C113,'regije_občine 212'!$D$4:$D$215,'regije_občine 212'!$B$4:$B$215),"")</f>
        <v/>
      </c>
      <c r="I113" s="12" t="str">
        <f t="shared" si="1"/>
        <v/>
      </c>
    </row>
    <row r="114" spans="1:9" x14ac:dyDescent="0.3">
      <c r="A114">
        <v>44</v>
      </c>
      <c r="B114">
        <v>2236</v>
      </c>
      <c r="C114" t="s">
        <v>256</v>
      </c>
      <c r="D114" t="s">
        <v>253</v>
      </c>
      <c r="E114">
        <f>_xlfn.XLOOKUP(D114,Regije!B:B,Regije!A:A)</f>
        <v>2</v>
      </c>
      <c r="F114" t="b">
        <f>_xlfn.IFNA(_xlfn.XLOOKUP(C114,'regije_občine 212'!$D$4:$D$215,'regije_občine 212'!$D$4:$D$215)=C114,FALSE)</f>
        <v>1</v>
      </c>
      <c r="H114" t="str">
        <f>_xlfn.IFNA(_xlfn.XLOOKUP(C114,'regije_občine 212'!$D$4:$D$215,'regije_občine 212'!$B$4:$B$215),"")</f>
        <v>Podravska</v>
      </c>
      <c r="I114" s="12" t="str">
        <f t="shared" si="1"/>
        <v/>
      </c>
    </row>
    <row r="115" spans="1:9" x14ac:dyDescent="0.3">
      <c r="A115">
        <v>357</v>
      </c>
      <c r="B115">
        <v>2241</v>
      </c>
      <c r="C115" t="s">
        <v>309</v>
      </c>
      <c r="D115" t="s">
        <v>253</v>
      </c>
      <c r="E115">
        <f>_xlfn.XLOOKUP(D115,Regije!B:B,Regije!A:A)</f>
        <v>2</v>
      </c>
      <c r="F115" t="b">
        <f>_xlfn.IFNA(_xlfn.XLOOKUP(C115,'regije_občine 212'!$D$4:$D$215,'regije_občine 212'!$D$4:$D$215)=C115,FALSE)</f>
        <v>0</v>
      </c>
      <c r="H115" t="str">
        <f>_xlfn.IFNA(_xlfn.XLOOKUP(C115,'regije_občine 212'!$D$4:$D$215,'regije_občine 212'!$B$4:$B$215),"")</f>
        <v/>
      </c>
      <c r="I115" s="12" t="str">
        <f t="shared" si="1"/>
        <v/>
      </c>
    </row>
    <row r="116" spans="1:9" x14ac:dyDescent="0.3">
      <c r="A116">
        <v>462</v>
      </c>
      <c r="B116">
        <v>2242</v>
      </c>
      <c r="C116" t="s">
        <v>325</v>
      </c>
      <c r="D116" t="s">
        <v>253</v>
      </c>
      <c r="E116">
        <f>_xlfn.XLOOKUP(D116,Regije!B:B,Regije!A:A)</f>
        <v>2</v>
      </c>
      <c r="F116" t="b">
        <f>_xlfn.IFNA(_xlfn.XLOOKUP(C116,'regije_občine 212'!$D$4:$D$215,'regije_občine 212'!$D$4:$D$215)=C116,FALSE)</f>
        <v>0</v>
      </c>
      <c r="H116" t="str">
        <f>_xlfn.IFNA(_xlfn.XLOOKUP(C116,'regije_občine 212'!$D$4:$D$215,'regije_občine 212'!$B$4:$B$215),"")</f>
        <v/>
      </c>
      <c r="I116" s="12" t="str">
        <f t="shared" si="1"/>
        <v/>
      </c>
    </row>
    <row r="117" spans="1:9" x14ac:dyDescent="0.3">
      <c r="A117">
        <v>309</v>
      </c>
      <c r="B117">
        <v>2250</v>
      </c>
      <c r="C117" t="s">
        <v>302</v>
      </c>
      <c r="D117" t="s">
        <v>253</v>
      </c>
      <c r="E117">
        <f>_xlfn.XLOOKUP(D117,Regije!B:B,Regije!A:A)</f>
        <v>2</v>
      </c>
      <c r="F117" t="b">
        <f>_xlfn.IFNA(_xlfn.XLOOKUP(C117,'regije_občine 212'!$D$4:$D$215,'regije_občine 212'!$D$4:$D$215)=C117,FALSE)</f>
        <v>1</v>
      </c>
      <c r="H117" t="str">
        <f>_xlfn.IFNA(_xlfn.XLOOKUP(C117,'regije_občine 212'!$D$4:$D$215,'regije_občine 212'!$B$4:$B$215),"")</f>
        <v>Podravska</v>
      </c>
      <c r="I117" s="12" t="str">
        <f t="shared" si="1"/>
        <v/>
      </c>
    </row>
    <row r="118" spans="1:9" x14ac:dyDescent="0.3">
      <c r="A118">
        <v>78</v>
      </c>
      <c r="B118">
        <v>2252</v>
      </c>
      <c r="C118" t="s">
        <v>261</v>
      </c>
      <c r="D118" t="s">
        <v>253</v>
      </c>
      <c r="E118">
        <f>_xlfn.XLOOKUP(D118,Regije!B:B,Regije!A:A)</f>
        <v>2</v>
      </c>
      <c r="F118" t="b">
        <f>_xlfn.IFNA(_xlfn.XLOOKUP(C118,'regije_občine 212'!$D$4:$D$215,'regije_občine 212'!$D$4:$D$215)=C118,FALSE)</f>
        <v>1</v>
      </c>
      <c r="H118" t="str">
        <f>_xlfn.IFNA(_xlfn.XLOOKUP(C118,'regije_občine 212'!$D$4:$D$215,'regije_občine 212'!$B$4:$B$215),"")</f>
        <v>Podravska</v>
      </c>
      <c r="I118" s="12" t="str">
        <f t="shared" si="1"/>
        <v/>
      </c>
    </row>
    <row r="119" spans="1:9" x14ac:dyDescent="0.3">
      <c r="A119">
        <v>60</v>
      </c>
      <c r="B119">
        <v>2253</v>
      </c>
      <c r="C119" t="s">
        <v>260</v>
      </c>
      <c r="D119" t="s">
        <v>253</v>
      </c>
      <c r="E119">
        <f>_xlfn.XLOOKUP(D119,Regije!B:B,Regije!A:A)</f>
        <v>2</v>
      </c>
      <c r="F119" t="b">
        <f>_xlfn.IFNA(_xlfn.XLOOKUP(C119,'regije_občine 212'!$D$4:$D$215,'regije_občine 212'!$D$4:$D$215)=C119,FALSE)</f>
        <v>1</v>
      </c>
      <c r="H119" t="str">
        <f>_xlfn.IFNA(_xlfn.XLOOKUP(C119,'regije_občine 212'!$D$4:$D$215,'regije_občine 212'!$B$4:$B$215),"")</f>
        <v>Podravska</v>
      </c>
      <c r="I119" s="12" t="str">
        <f t="shared" si="1"/>
        <v/>
      </c>
    </row>
    <row r="120" spans="1:9" x14ac:dyDescent="0.3">
      <c r="A120">
        <v>422</v>
      </c>
      <c r="B120">
        <v>2254</v>
      </c>
      <c r="C120" t="s">
        <v>319</v>
      </c>
      <c r="D120" t="s">
        <v>253</v>
      </c>
      <c r="E120">
        <f>_xlfn.XLOOKUP(D120,Regije!B:B,Regije!A:A)</f>
        <v>2</v>
      </c>
      <c r="F120" t="b">
        <f>_xlfn.IFNA(_xlfn.XLOOKUP(C120,'regije_občine 212'!$D$4:$D$215,'regije_občine 212'!$D$4:$D$215)=C120,FALSE)</f>
        <v>1</v>
      </c>
      <c r="H120" t="str">
        <f>_xlfn.IFNA(_xlfn.XLOOKUP(C120,'regije_občine 212'!$D$4:$D$215,'regije_občine 212'!$B$4:$B$215),"")</f>
        <v>Podravska</v>
      </c>
      <c r="I120" s="12" t="str">
        <f t="shared" si="1"/>
        <v/>
      </c>
    </row>
    <row r="121" spans="1:9" x14ac:dyDescent="0.3">
      <c r="A121">
        <v>446</v>
      </c>
      <c r="B121">
        <v>2255</v>
      </c>
      <c r="C121" t="s">
        <v>322</v>
      </c>
      <c r="D121" t="s">
        <v>253</v>
      </c>
      <c r="E121">
        <f>_xlfn.XLOOKUP(D121,Regije!B:B,Regije!A:A)</f>
        <v>2</v>
      </c>
      <c r="F121" t="b">
        <f>_xlfn.IFNA(_xlfn.XLOOKUP(C121,'regije_občine 212'!$D$4:$D$215,'regije_občine 212'!$D$4:$D$215)=C121,FALSE)</f>
        <v>0</v>
      </c>
      <c r="H121" t="str">
        <f>_xlfn.IFNA(_xlfn.XLOOKUP(C121,'regije_občine 212'!$D$4:$D$215,'regije_občine 212'!$B$4:$B$215),"")</f>
        <v/>
      </c>
      <c r="I121" s="12" t="str">
        <f t="shared" si="1"/>
        <v/>
      </c>
    </row>
    <row r="122" spans="1:9" x14ac:dyDescent="0.3">
      <c r="A122">
        <v>135</v>
      </c>
      <c r="B122">
        <v>2256</v>
      </c>
      <c r="C122" t="s">
        <v>271</v>
      </c>
      <c r="D122" t="s">
        <v>253</v>
      </c>
      <c r="E122">
        <f>_xlfn.XLOOKUP(D122,Regije!B:B,Regije!A:A)</f>
        <v>2</v>
      </c>
      <c r="F122" t="b">
        <f>_xlfn.IFNA(_xlfn.XLOOKUP(C122,'regije_občine 212'!$D$4:$D$215,'regije_občine 212'!$D$4:$D$215)=C122,FALSE)</f>
        <v>1</v>
      </c>
      <c r="H122" t="str">
        <f>_xlfn.IFNA(_xlfn.XLOOKUP(C122,'regije_občine 212'!$D$4:$D$215,'regije_občine 212'!$B$4:$B$215),"")</f>
        <v>Podravska</v>
      </c>
      <c r="I122" s="12" t="str">
        <f t="shared" si="1"/>
        <v/>
      </c>
    </row>
    <row r="123" spans="1:9" x14ac:dyDescent="0.3">
      <c r="A123">
        <v>288</v>
      </c>
      <c r="B123">
        <v>2257</v>
      </c>
      <c r="C123" t="s">
        <v>299</v>
      </c>
      <c r="D123" t="s">
        <v>253</v>
      </c>
      <c r="E123">
        <f>_xlfn.XLOOKUP(D123,Regije!B:B,Regije!A:A)</f>
        <v>2</v>
      </c>
      <c r="F123" t="b">
        <f>_xlfn.IFNA(_xlfn.XLOOKUP(C123,'regije_občine 212'!$D$4:$D$215,'regije_občine 212'!$D$4:$D$215)=C123,FALSE)</f>
        <v>0</v>
      </c>
      <c r="H123" t="str">
        <f>_xlfn.IFNA(_xlfn.XLOOKUP(C123,'regije_občine 212'!$D$4:$D$215,'regije_občine 212'!$B$4:$B$215),"")</f>
        <v/>
      </c>
      <c r="I123" s="12" t="str">
        <f t="shared" si="1"/>
        <v/>
      </c>
    </row>
    <row r="124" spans="1:9" x14ac:dyDescent="0.3">
      <c r="A124">
        <v>380</v>
      </c>
      <c r="B124">
        <v>2258</v>
      </c>
      <c r="C124" t="s">
        <v>316</v>
      </c>
      <c r="D124" t="s">
        <v>253</v>
      </c>
      <c r="E124">
        <f>_xlfn.XLOOKUP(D124,Regije!B:B,Regije!A:A)</f>
        <v>2</v>
      </c>
      <c r="F124" t="b">
        <f>_xlfn.IFNA(_xlfn.XLOOKUP(C124,'regije_občine 212'!$D$4:$D$215,'regije_občine 212'!$D$4:$D$215)=C124,FALSE)</f>
        <v>1</v>
      </c>
      <c r="H124" t="str">
        <f>_xlfn.IFNA(_xlfn.XLOOKUP(C124,'regije_občine 212'!$D$4:$D$215,'regije_občine 212'!$B$4:$B$215),"")</f>
        <v>Podravska</v>
      </c>
      <c r="I124" s="12" t="str">
        <f t="shared" si="1"/>
        <v/>
      </c>
    </row>
    <row r="125" spans="1:9" x14ac:dyDescent="0.3">
      <c r="A125">
        <v>125</v>
      </c>
      <c r="B125">
        <v>2259</v>
      </c>
      <c r="C125" t="s">
        <v>267</v>
      </c>
      <c r="D125" t="s">
        <v>253</v>
      </c>
      <c r="E125">
        <f>_xlfn.XLOOKUP(D125,Regije!B:B,Regije!A:A)</f>
        <v>2</v>
      </c>
      <c r="F125" t="b">
        <f>_xlfn.IFNA(_xlfn.XLOOKUP(C125,'regije_občine 212'!$D$4:$D$215,'regije_občine 212'!$D$4:$D$215)=C125,FALSE)</f>
        <v>0</v>
      </c>
      <c r="H125" t="str">
        <f>_xlfn.IFNA(_xlfn.XLOOKUP(C125,'regije_občine 212'!$D$4:$D$215,'regije_občine 212'!$B$4:$B$215),"")</f>
        <v/>
      </c>
      <c r="I125" s="12" t="str">
        <f t="shared" si="1"/>
        <v/>
      </c>
    </row>
    <row r="126" spans="1:9" x14ac:dyDescent="0.3">
      <c r="A126">
        <v>258</v>
      </c>
      <c r="B126">
        <v>2270</v>
      </c>
      <c r="C126" t="s">
        <v>292</v>
      </c>
      <c r="D126" t="s">
        <v>253</v>
      </c>
      <c r="E126">
        <f>_xlfn.XLOOKUP(D126,Regije!B:B,Regije!A:A)</f>
        <v>2</v>
      </c>
      <c r="F126" t="b">
        <f>_xlfn.IFNA(_xlfn.XLOOKUP(C126,'regije_občine 212'!$D$4:$D$215,'regije_občine 212'!$D$4:$D$215)=C126,FALSE)</f>
        <v>1</v>
      </c>
      <c r="H126" t="str">
        <f>_xlfn.IFNA(_xlfn.XLOOKUP(C126,'regije_občine 212'!$D$4:$D$215,'regije_občine 212'!$B$4:$B$215),"")</f>
        <v>Podravska</v>
      </c>
      <c r="I126" s="12" t="str">
        <f t="shared" si="1"/>
        <v/>
      </c>
    </row>
    <row r="127" spans="1:9" x14ac:dyDescent="0.3">
      <c r="A127">
        <v>98</v>
      </c>
      <c r="B127">
        <v>2272</v>
      </c>
      <c r="C127" t="s">
        <v>264</v>
      </c>
      <c r="D127" t="s">
        <v>253</v>
      </c>
      <c r="E127">
        <f>_xlfn.XLOOKUP(D127,Regije!B:B,Regije!A:A)</f>
        <v>2</v>
      </c>
      <c r="F127" t="b">
        <f>_xlfn.IFNA(_xlfn.XLOOKUP(C127,'regije_občine 212'!$D$4:$D$215,'regije_občine 212'!$D$4:$D$215)=C127,FALSE)</f>
        <v>1</v>
      </c>
      <c r="H127" t="str">
        <f>_xlfn.IFNA(_xlfn.XLOOKUP(C127,'regije_občine 212'!$D$4:$D$215,'regije_občine 212'!$B$4:$B$215),"")</f>
        <v>Podravska</v>
      </c>
      <c r="I127" s="12" t="str">
        <f t="shared" si="1"/>
        <v/>
      </c>
    </row>
    <row r="128" spans="1:9" x14ac:dyDescent="0.3">
      <c r="A128">
        <v>276</v>
      </c>
      <c r="B128">
        <v>2273</v>
      </c>
      <c r="C128" t="s">
        <v>296</v>
      </c>
      <c r="D128" t="s">
        <v>253</v>
      </c>
      <c r="E128">
        <f>_xlfn.XLOOKUP(D128,Regije!B:B,Regije!A:A)</f>
        <v>2</v>
      </c>
      <c r="F128" t="b">
        <f>_xlfn.IFNA(_xlfn.XLOOKUP(C128,'regije_občine 212'!$D$4:$D$215,'regije_občine 212'!$D$4:$D$215)=C128,FALSE)</f>
        <v>0</v>
      </c>
      <c r="H128" t="str">
        <f>_xlfn.IFNA(_xlfn.XLOOKUP(C128,'regije_občine 212'!$D$4:$D$215,'regije_občine 212'!$B$4:$B$215),"")</f>
        <v/>
      </c>
      <c r="I128" s="12" t="str">
        <f t="shared" si="1"/>
        <v/>
      </c>
    </row>
    <row r="129" spans="1:9" x14ac:dyDescent="0.3">
      <c r="A129">
        <v>434</v>
      </c>
      <c r="B129">
        <v>2274</v>
      </c>
      <c r="C129" t="s">
        <v>320</v>
      </c>
      <c r="D129" t="s">
        <v>253</v>
      </c>
      <c r="E129">
        <f>_xlfn.XLOOKUP(D129,Regije!B:B,Regije!A:A)</f>
        <v>2</v>
      </c>
      <c r="F129" t="b">
        <f>_xlfn.IFNA(_xlfn.XLOOKUP(C129,'regije_občine 212'!$D$4:$D$215,'regije_občine 212'!$D$4:$D$215)=C129,FALSE)</f>
        <v>0</v>
      </c>
      <c r="H129" t="str">
        <f>_xlfn.IFNA(_xlfn.XLOOKUP(C129,'regije_občine 212'!$D$4:$D$215,'regije_občine 212'!$B$4:$B$215),"")</f>
        <v/>
      </c>
      <c r="I129" s="12" t="str">
        <f t="shared" si="1"/>
        <v/>
      </c>
    </row>
    <row r="130" spans="1:9" x14ac:dyDescent="0.3">
      <c r="A130">
        <v>230</v>
      </c>
      <c r="B130">
        <v>2275</v>
      </c>
      <c r="C130" t="s">
        <v>289</v>
      </c>
      <c r="D130" t="s">
        <v>253</v>
      </c>
      <c r="E130">
        <f>_xlfn.XLOOKUP(D130,Regije!B:B,Regije!A:A)</f>
        <v>2</v>
      </c>
      <c r="F130" t="b">
        <f>_xlfn.IFNA(_xlfn.XLOOKUP(C130,'regije_občine 212'!$D$4:$D$215,'regije_občine 212'!$D$4:$D$215)=C130,FALSE)</f>
        <v>0</v>
      </c>
      <c r="H130" t="str">
        <f>_xlfn.IFNA(_xlfn.XLOOKUP(C130,'regije_občine 212'!$D$4:$D$215,'regije_občine 212'!$B$4:$B$215),"")</f>
        <v/>
      </c>
      <c r="I130" s="12" t="str">
        <f t="shared" si="1"/>
        <v/>
      </c>
    </row>
    <row r="131" spans="1:9" x14ac:dyDescent="0.3">
      <c r="A131">
        <v>151</v>
      </c>
      <c r="B131">
        <v>2276</v>
      </c>
      <c r="C131" t="s">
        <v>275</v>
      </c>
      <c r="D131" t="s">
        <v>253</v>
      </c>
      <c r="E131">
        <f>_xlfn.XLOOKUP(D131,Regije!B:B,Regije!A:A)</f>
        <v>2</v>
      </c>
      <c r="F131" t="b">
        <f>_xlfn.IFNA(_xlfn.XLOOKUP(C131,'regije_občine 212'!$D$4:$D$215,'regije_občine 212'!$D$4:$D$215)=C131,FALSE)</f>
        <v>0</v>
      </c>
      <c r="H131" t="str">
        <f>_xlfn.IFNA(_xlfn.XLOOKUP(C131,'regije_občine 212'!$D$4:$D$215,'regije_občine 212'!$B$4:$B$215),"")</f>
        <v/>
      </c>
      <c r="I131" s="12" t="str">
        <f t="shared" ref="I131:I194" si="2">IF(AND(H131&lt;&gt;"",H131&lt;&gt;D131),"drugačna regija!","")</f>
        <v/>
      </c>
    </row>
    <row r="132" spans="1:9" x14ac:dyDescent="0.3">
      <c r="A132">
        <v>359</v>
      </c>
      <c r="B132">
        <v>2277</v>
      </c>
      <c r="C132" t="s">
        <v>310</v>
      </c>
      <c r="D132" t="s">
        <v>253</v>
      </c>
      <c r="E132">
        <f>_xlfn.XLOOKUP(D132,Regije!B:B,Regije!A:A)</f>
        <v>2</v>
      </c>
      <c r="F132" t="b">
        <f>_xlfn.IFNA(_xlfn.XLOOKUP(C132,'regije_občine 212'!$D$4:$D$215,'regije_občine 212'!$D$4:$D$215)=C132,FALSE)</f>
        <v>1</v>
      </c>
      <c r="H132" t="str">
        <f>_xlfn.IFNA(_xlfn.XLOOKUP(C132,'regije_občine 212'!$D$4:$D$215,'regije_občine 212'!$B$4:$B$215),"")</f>
        <v>Podravska</v>
      </c>
      <c r="I132" s="12" t="str">
        <f t="shared" si="2"/>
        <v/>
      </c>
    </row>
    <row r="133" spans="1:9" x14ac:dyDescent="0.3">
      <c r="A133">
        <v>221</v>
      </c>
      <c r="B133">
        <v>2281</v>
      </c>
      <c r="C133" t="s">
        <v>287</v>
      </c>
      <c r="D133" t="s">
        <v>253</v>
      </c>
      <c r="E133">
        <f>_xlfn.XLOOKUP(D133,Regije!B:B,Regije!A:A)</f>
        <v>2</v>
      </c>
      <c r="F133" t="b">
        <f>_xlfn.IFNA(_xlfn.XLOOKUP(C133,'regije_občine 212'!$D$4:$D$215,'regije_občine 212'!$D$4:$D$215)=C133,FALSE)</f>
        <v>1</v>
      </c>
      <c r="H133" t="str">
        <f>_xlfn.IFNA(_xlfn.XLOOKUP(C133,'regije_občine 212'!$D$4:$D$215,'regije_občine 212'!$B$4:$B$215),"")</f>
        <v>Podravska</v>
      </c>
      <c r="I133" s="12" t="str">
        <f t="shared" si="2"/>
        <v/>
      </c>
    </row>
    <row r="134" spans="1:9" x14ac:dyDescent="0.3">
      <c r="A134">
        <v>47</v>
      </c>
      <c r="B134">
        <v>2282</v>
      </c>
      <c r="C134" t="s">
        <v>259</v>
      </c>
      <c r="D134" t="s">
        <v>253</v>
      </c>
      <c r="E134">
        <f>_xlfn.XLOOKUP(D134,Regije!B:B,Regije!A:A)</f>
        <v>2</v>
      </c>
      <c r="F134" t="b">
        <f>_xlfn.IFNA(_xlfn.XLOOKUP(C134,'regije_občine 212'!$D$4:$D$215,'regije_občine 212'!$D$4:$D$215)=C134,FALSE)</f>
        <v>1</v>
      </c>
      <c r="H134" t="str">
        <f>_xlfn.IFNA(_xlfn.XLOOKUP(C134,'regije_občine 212'!$D$4:$D$215,'regije_občine 212'!$B$4:$B$215),"")</f>
        <v>Podravska</v>
      </c>
      <c r="I134" s="12" t="str">
        <f t="shared" si="2"/>
        <v/>
      </c>
    </row>
    <row r="135" spans="1:9" x14ac:dyDescent="0.3">
      <c r="A135">
        <v>459</v>
      </c>
      <c r="B135">
        <v>2283</v>
      </c>
      <c r="C135" t="s">
        <v>324</v>
      </c>
      <c r="D135" t="s">
        <v>253</v>
      </c>
      <c r="E135">
        <f>_xlfn.XLOOKUP(D135,Regije!B:B,Regije!A:A)</f>
        <v>2</v>
      </c>
      <c r="F135" t="b">
        <f>_xlfn.IFNA(_xlfn.XLOOKUP(C135,'regije_občine 212'!$D$4:$D$215,'regije_občine 212'!$D$4:$D$215)=C135,FALSE)</f>
        <v>1</v>
      </c>
      <c r="H135" t="str">
        <f>_xlfn.IFNA(_xlfn.XLOOKUP(C135,'regije_občine 212'!$D$4:$D$215,'regije_občine 212'!$B$4:$B$215),"")</f>
        <v>Podravska</v>
      </c>
      <c r="I135" s="12" t="str">
        <f t="shared" si="2"/>
        <v/>
      </c>
    </row>
    <row r="136" spans="1:9" x14ac:dyDescent="0.3">
      <c r="A136">
        <v>440</v>
      </c>
      <c r="B136">
        <v>2284</v>
      </c>
      <c r="C136" t="s">
        <v>321</v>
      </c>
      <c r="D136" t="s">
        <v>253</v>
      </c>
      <c r="E136">
        <f>_xlfn.XLOOKUP(D136,Regije!B:B,Regije!A:A)</f>
        <v>2</v>
      </c>
      <c r="F136" t="b">
        <f>_xlfn.IFNA(_xlfn.XLOOKUP(C136,'regije_občine 212'!$D$4:$D$215,'regije_občine 212'!$D$4:$D$215)=C136,FALSE)</f>
        <v>0</v>
      </c>
      <c r="H136" t="str">
        <f>_xlfn.IFNA(_xlfn.XLOOKUP(C136,'regije_občine 212'!$D$4:$D$215,'regije_občine 212'!$B$4:$B$215),"")</f>
        <v/>
      </c>
      <c r="I136" s="12" t="str">
        <f t="shared" si="2"/>
        <v/>
      </c>
    </row>
    <row r="137" spans="1:9" x14ac:dyDescent="0.3">
      <c r="A137">
        <v>469</v>
      </c>
      <c r="B137">
        <v>2285</v>
      </c>
      <c r="C137" t="s">
        <v>330</v>
      </c>
      <c r="D137" t="s">
        <v>253</v>
      </c>
      <c r="E137">
        <f>_xlfn.XLOOKUP(D137,Regije!B:B,Regije!A:A)</f>
        <v>2</v>
      </c>
      <c r="F137" t="b">
        <f>_xlfn.IFNA(_xlfn.XLOOKUP(C137,'regije_občine 212'!$D$4:$D$215,'regije_občine 212'!$D$4:$D$215)=C137,FALSE)</f>
        <v>0</v>
      </c>
      <c r="H137" t="str">
        <f>_xlfn.IFNA(_xlfn.XLOOKUP(C137,'regije_občine 212'!$D$4:$D$215,'regije_občine 212'!$B$4:$B$215),"")</f>
        <v/>
      </c>
      <c r="I137" s="12" t="str">
        <f t="shared" si="2"/>
        <v/>
      </c>
    </row>
    <row r="138" spans="1:9" x14ac:dyDescent="0.3">
      <c r="A138">
        <v>281</v>
      </c>
      <c r="B138">
        <v>2286</v>
      </c>
      <c r="C138" t="s">
        <v>297</v>
      </c>
      <c r="D138" t="s">
        <v>253</v>
      </c>
      <c r="E138">
        <f>_xlfn.XLOOKUP(D138,Regije!B:B,Regije!A:A)</f>
        <v>2</v>
      </c>
      <c r="F138" t="b">
        <f>_xlfn.IFNA(_xlfn.XLOOKUP(C138,'regije_občine 212'!$D$4:$D$215,'regije_občine 212'!$D$4:$D$215)=C138,FALSE)</f>
        <v>1</v>
      </c>
      <c r="H138" t="str">
        <f>_xlfn.IFNA(_xlfn.XLOOKUP(C138,'regije_občine 212'!$D$4:$D$215,'regije_občine 212'!$B$4:$B$215),"")</f>
        <v>Podravska</v>
      </c>
      <c r="I138" s="12" t="str">
        <f t="shared" si="2"/>
        <v/>
      </c>
    </row>
    <row r="139" spans="1:9" x14ac:dyDescent="0.3">
      <c r="A139">
        <v>475</v>
      </c>
      <c r="B139">
        <v>2287</v>
      </c>
      <c r="C139" t="s">
        <v>331</v>
      </c>
      <c r="D139" t="s">
        <v>253</v>
      </c>
      <c r="E139">
        <f>_xlfn.XLOOKUP(D139,Regije!B:B,Regije!A:A)</f>
        <v>2</v>
      </c>
      <c r="F139" t="b">
        <f>_xlfn.IFNA(_xlfn.XLOOKUP(C139,'regije_občine 212'!$D$4:$D$215,'regije_občine 212'!$D$4:$D$215)=C139,FALSE)</f>
        <v>1</v>
      </c>
      <c r="H139" t="str">
        <f>_xlfn.IFNA(_xlfn.XLOOKUP(C139,'regije_občine 212'!$D$4:$D$215,'regije_občine 212'!$B$4:$B$215),"")</f>
        <v>Podravska</v>
      </c>
      <c r="I139" s="12" t="str">
        <f t="shared" si="2"/>
        <v/>
      </c>
    </row>
    <row r="140" spans="1:9" x14ac:dyDescent="0.3">
      <c r="A140">
        <v>111</v>
      </c>
      <c r="B140">
        <v>2288</v>
      </c>
      <c r="C140" t="s">
        <v>265</v>
      </c>
      <c r="D140" t="s">
        <v>253</v>
      </c>
      <c r="E140">
        <f>_xlfn.XLOOKUP(D140,Regije!B:B,Regije!A:A)</f>
        <v>2</v>
      </c>
      <c r="F140" t="b">
        <f>_xlfn.IFNA(_xlfn.XLOOKUP(C140,'regije_občine 212'!$D$4:$D$215,'regije_občine 212'!$D$4:$D$215)=C140,FALSE)</f>
        <v>1</v>
      </c>
      <c r="H140" t="str">
        <f>_xlfn.IFNA(_xlfn.XLOOKUP(C140,'regije_občine 212'!$D$4:$D$215,'regije_občine 212'!$B$4:$B$215),"")</f>
        <v>Podravska</v>
      </c>
      <c r="I140" s="12" t="str">
        <f t="shared" si="2"/>
        <v/>
      </c>
    </row>
    <row r="141" spans="1:9" x14ac:dyDescent="0.3">
      <c r="A141">
        <v>368</v>
      </c>
      <c r="B141">
        <v>2289</v>
      </c>
      <c r="C141" t="s">
        <v>312</v>
      </c>
      <c r="D141" t="s">
        <v>253</v>
      </c>
      <c r="E141">
        <f>_xlfn.XLOOKUP(D141,Regije!B:B,Regije!A:A)</f>
        <v>2</v>
      </c>
      <c r="F141" t="b">
        <f>_xlfn.IFNA(_xlfn.XLOOKUP(C141,'regije_občine 212'!$D$4:$D$215,'regije_občine 212'!$D$4:$D$215)=C141,FALSE)</f>
        <v>0</v>
      </c>
      <c r="H141" t="str">
        <f>_xlfn.IFNA(_xlfn.XLOOKUP(C141,'regije_občine 212'!$D$4:$D$215,'regije_občine 212'!$B$4:$B$215),"")</f>
        <v/>
      </c>
      <c r="I141" s="12" t="str">
        <f t="shared" si="2"/>
        <v/>
      </c>
    </row>
    <row r="142" spans="1:9" x14ac:dyDescent="0.3">
      <c r="A142">
        <v>347</v>
      </c>
      <c r="B142">
        <v>2310</v>
      </c>
      <c r="C142" t="s">
        <v>308</v>
      </c>
      <c r="D142" t="s">
        <v>253</v>
      </c>
      <c r="E142">
        <f>_xlfn.XLOOKUP(D142,Regije!B:B,Regije!A:A)</f>
        <v>2</v>
      </c>
      <c r="F142" t="b">
        <f>_xlfn.IFNA(_xlfn.XLOOKUP(C142,'regije_občine 212'!$D$4:$D$215,'regije_občine 212'!$D$4:$D$215)=C142,FALSE)</f>
        <v>1</v>
      </c>
      <c r="H142" t="str">
        <f>_xlfn.IFNA(_xlfn.XLOOKUP(C142,'regije_občine 212'!$D$4:$D$215,'regije_občine 212'!$B$4:$B$215),"")</f>
        <v>Podravska</v>
      </c>
      <c r="I142" s="12" t="str">
        <f t="shared" si="2"/>
        <v/>
      </c>
    </row>
    <row r="143" spans="1:9" x14ac:dyDescent="0.3">
      <c r="A143">
        <v>113</v>
      </c>
      <c r="B143">
        <v>2311</v>
      </c>
      <c r="C143" t="s">
        <v>266</v>
      </c>
      <c r="D143" t="s">
        <v>253</v>
      </c>
      <c r="E143">
        <f>_xlfn.XLOOKUP(D143,Regije!B:B,Regije!A:A)</f>
        <v>2</v>
      </c>
      <c r="F143" t="b">
        <f>_xlfn.IFNA(_xlfn.XLOOKUP(C143,'regije_občine 212'!$D$4:$D$215,'regije_občine 212'!$D$4:$D$215)=C143,FALSE)</f>
        <v>0</v>
      </c>
      <c r="H143" t="str">
        <f>_xlfn.IFNA(_xlfn.XLOOKUP(C143,'regije_občine 212'!$D$4:$D$215,'regije_občine 212'!$B$4:$B$215),"")</f>
        <v/>
      </c>
      <c r="I143" s="12" t="str">
        <f t="shared" si="2"/>
        <v/>
      </c>
    </row>
    <row r="144" spans="1:9" x14ac:dyDescent="0.3">
      <c r="A144">
        <v>257</v>
      </c>
      <c r="B144">
        <v>2312</v>
      </c>
      <c r="C144" t="s">
        <v>291</v>
      </c>
      <c r="D144" t="s">
        <v>253</v>
      </c>
      <c r="E144">
        <f>_xlfn.XLOOKUP(D144,Regije!B:B,Regije!A:A)</f>
        <v>2</v>
      </c>
      <c r="F144" t="b">
        <f>_xlfn.IFNA(_xlfn.XLOOKUP(C144,'regije_občine 212'!$D$4:$D$215,'regije_občine 212'!$D$4:$D$215)=C144,FALSE)</f>
        <v>0</v>
      </c>
      <c r="H144" t="str">
        <f>_xlfn.IFNA(_xlfn.XLOOKUP(C144,'regije_občine 212'!$D$4:$D$215,'regije_občine 212'!$B$4:$B$215),"")</f>
        <v/>
      </c>
      <c r="I144" s="12" t="str">
        <f t="shared" si="2"/>
        <v/>
      </c>
    </row>
    <row r="145" spans="1:9" x14ac:dyDescent="0.3">
      <c r="A145">
        <v>89</v>
      </c>
      <c r="B145">
        <v>2313</v>
      </c>
      <c r="C145" t="s">
        <v>263</v>
      </c>
      <c r="D145" t="s">
        <v>253</v>
      </c>
      <c r="E145">
        <f>_xlfn.XLOOKUP(D145,Regije!B:B,Regije!A:A)</f>
        <v>2</v>
      </c>
      <c r="F145" t="b">
        <f>_xlfn.IFNA(_xlfn.XLOOKUP(C145,'regije_občine 212'!$D$4:$D$215,'regije_občine 212'!$D$4:$D$215)=C145,FALSE)</f>
        <v>0</v>
      </c>
      <c r="H145" t="str">
        <f>_xlfn.IFNA(_xlfn.XLOOKUP(C145,'regije_občine 212'!$D$4:$D$215,'regije_občine 212'!$B$4:$B$215),"")</f>
        <v/>
      </c>
      <c r="I145" s="12" t="str">
        <f t="shared" si="2"/>
        <v/>
      </c>
    </row>
    <row r="146" spans="1:9" x14ac:dyDescent="0.3">
      <c r="A146">
        <v>465</v>
      </c>
      <c r="B146">
        <v>2314</v>
      </c>
      <c r="C146" t="s">
        <v>328</v>
      </c>
      <c r="D146" t="s">
        <v>253</v>
      </c>
      <c r="E146">
        <f>_xlfn.XLOOKUP(D146,Regije!B:B,Regije!A:A)</f>
        <v>2</v>
      </c>
      <c r="F146" t="b">
        <f>_xlfn.IFNA(_xlfn.XLOOKUP(C146,'regije_občine 212'!$D$4:$D$215,'regije_občine 212'!$D$4:$D$215)=C146,FALSE)</f>
        <v>0</v>
      </c>
      <c r="H146" t="str">
        <f>_xlfn.IFNA(_xlfn.XLOOKUP(C146,'regije_občine 212'!$D$4:$D$215,'regije_občine 212'!$B$4:$B$215),"")</f>
        <v/>
      </c>
      <c r="I146" s="12" t="str">
        <f t="shared" si="2"/>
        <v/>
      </c>
    </row>
    <row r="147" spans="1:9" x14ac:dyDescent="0.3">
      <c r="A147">
        <v>403</v>
      </c>
      <c r="B147">
        <v>2315</v>
      </c>
      <c r="C147" t="s">
        <v>318</v>
      </c>
      <c r="D147" t="s">
        <v>253</v>
      </c>
      <c r="E147">
        <f>_xlfn.XLOOKUP(D147,Regije!B:B,Regije!A:A)</f>
        <v>2</v>
      </c>
      <c r="F147" t="b">
        <f>_xlfn.IFNA(_xlfn.XLOOKUP(C147,'regije_občine 212'!$D$4:$D$215,'regije_občine 212'!$D$4:$D$215)=C147,FALSE)</f>
        <v>0</v>
      </c>
      <c r="H147" t="str">
        <f>_xlfn.IFNA(_xlfn.XLOOKUP(C147,'regije_občine 212'!$D$4:$D$215,'regije_občine 212'!$B$4:$B$215),"")</f>
        <v/>
      </c>
      <c r="I147" s="12" t="str">
        <f t="shared" si="2"/>
        <v/>
      </c>
    </row>
    <row r="148" spans="1:9" x14ac:dyDescent="0.3">
      <c r="A148">
        <v>464</v>
      </c>
      <c r="B148">
        <v>2316</v>
      </c>
      <c r="C148" t="s">
        <v>327</v>
      </c>
      <c r="D148" t="s">
        <v>253</v>
      </c>
      <c r="E148">
        <f>_xlfn.XLOOKUP(D148,Regije!B:B,Regije!A:A)</f>
        <v>2</v>
      </c>
      <c r="F148" t="b">
        <f>_xlfn.IFNA(_xlfn.XLOOKUP(C148,'regije_občine 212'!$D$4:$D$215,'regije_občine 212'!$D$4:$D$215)=C148,FALSE)</f>
        <v>0</v>
      </c>
      <c r="H148" t="str">
        <f>_xlfn.IFNA(_xlfn.XLOOKUP(C148,'regije_občine 212'!$D$4:$D$215,'regije_občine 212'!$B$4:$B$215),"")</f>
        <v/>
      </c>
      <c r="I148" s="12" t="str">
        <f t="shared" si="2"/>
        <v/>
      </c>
    </row>
    <row r="149" spans="1:9" x14ac:dyDescent="0.3">
      <c r="A149">
        <v>256</v>
      </c>
      <c r="B149">
        <v>2317</v>
      </c>
      <c r="C149" t="s">
        <v>290</v>
      </c>
      <c r="D149" t="s">
        <v>253</v>
      </c>
      <c r="E149">
        <f>_xlfn.XLOOKUP(D149,Regije!B:B,Regije!A:A)</f>
        <v>2</v>
      </c>
      <c r="F149" t="b">
        <f>_xlfn.IFNA(_xlfn.XLOOKUP(C149,'regije_občine 212'!$D$4:$D$215,'regije_občine 212'!$D$4:$D$215)=C149,FALSE)</f>
        <v>1</v>
      </c>
      <c r="H149" t="str">
        <f>_xlfn.IFNA(_xlfn.XLOOKUP(C149,'regije_občine 212'!$D$4:$D$215,'regije_občine 212'!$B$4:$B$215),"")</f>
        <v>Podravska</v>
      </c>
      <c r="I149" s="12" t="str">
        <f t="shared" si="2"/>
        <v/>
      </c>
    </row>
    <row r="150" spans="1:9" x14ac:dyDescent="0.3">
      <c r="A150">
        <v>178</v>
      </c>
      <c r="B150">
        <v>2318</v>
      </c>
      <c r="C150" t="s">
        <v>276</v>
      </c>
      <c r="D150" t="s">
        <v>253</v>
      </c>
      <c r="E150">
        <f>_xlfn.XLOOKUP(D150,Regije!B:B,Regije!A:A)</f>
        <v>2</v>
      </c>
      <c r="F150" t="b">
        <f>_xlfn.IFNA(_xlfn.XLOOKUP(C150,'regije_občine 212'!$D$4:$D$215,'regije_občine 212'!$D$4:$D$215)=C150,FALSE)</f>
        <v>0</v>
      </c>
      <c r="H150" t="str">
        <f>_xlfn.IFNA(_xlfn.XLOOKUP(C150,'regije_občine 212'!$D$4:$D$215,'regije_občine 212'!$B$4:$B$215),"")</f>
        <v/>
      </c>
      <c r="I150" s="12" t="str">
        <f t="shared" si="2"/>
        <v/>
      </c>
    </row>
    <row r="151" spans="1:9" x14ac:dyDescent="0.3">
      <c r="A151">
        <v>291</v>
      </c>
      <c r="B151">
        <v>2319</v>
      </c>
      <c r="C151" t="s">
        <v>300</v>
      </c>
      <c r="D151" t="s">
        <v>253</v>
      </c>
      <c r="E151">
        <f>_xlfn.XLOOKUP(D151,Regije!B:B,Regije!A:A)</f>
        <v>2</v>
      </c>
      <c r="F151" t="b">
        <f>_xlfn.IFNA(_xlfn.XLOOKUP(C151,'regije_občine 212'!$D$4:$D$215,'regije_občine 212'!$D$4:$D$215)=C151,FALSE)</f>
        <v>1</v>
      </c>
      <c r="H151" t="str">
        <f>_xlfn.IFNA(_xlfn.XLOOKUP(C151,'regije_občine 212'!$D$4:$D$215,'regije_občine 212'!$B$4:$B$215),"")</f>
        <v>Podravska</v>
      </c>
      <c r="I151" s="12" t="str">
        <f t="shared" si="2"/>
        <v/>
      </c>
    </row>
    <row r="152" spans="1:9" x14ac:dyDescent="0.3">
      <c r="A152">
        <v>214</v>
      </c>
      <c r="B152">
        <v>2321</v>
      </c>
      <c r="C152" t="s">
        <v>282</v>
      </c>
      <c r="D152" t="s">
        <v>253</v>
      </c>
      <c r="E152">
        <f>_xlfn.XLOOKUP(D152,Regije!B:B,Regije!A:A)</f>
        <v>2</v>
      </c>
      <c r="F152" t="b">
        <f>_xlfn.IFNA(_xlfn.XLOOKUP(C152,'regije_občine 212'!$D$4:$D$215,'regije_občine 212'!$D$4:$D$215)=C152,FALSE)</f>
        <v>1</v>
      </c>
      <c r="H152" t="str">
        <f>_xlfn.IFNA(_xlfn.XLOOKUP(C152,'regije_občine 212'!$D$4:$D$215,'regije_občine 212'!$B$4:$B$215),"")</f>
        <v>Podravska</v>
      </c>
      <c r="I152" s="12" t="str">
        <f t="shared" si="2"/>
        <v/>
      </c>
    </row>
    <row r="153" spans="1:9" x14ac:dyDescent="0.3">
      <c r="A153">
        <v>213</v>
      </c>
      <c r="B153">
        <v>2322</v>
      </c>
      <c r="C153" t="s">
        <v>281</v>
      </c>
      <c r="D153" t="s">
        <v>253</v>
      </c>
      <c r="E153">
        <f>_xlfn.XLOOKUP(D153,Regije!B:B,Regije!A:A)</f>
        <v>2</v>
      </c>
      <c r="F153" t="b">
        <f>_xlfn.IFNA(_xlfn.XLOOKUP(C153,'regije_občine 212'!$D$4:$D$215,'regije_občine 212'!$D$4:$D$215)=C153,FALSE)</f>
        <v>1</v>
      </c>
      <c r="H153" t="str">
        <f>_xlfn.IFNA(_xlfn.XLOOKUP(C153,'regije_občine 212'!$D$4:$D$215,'regije_občine 212'!$B$4:$B$215),"")</f>
        <v>Podravska</v>
      </c>
      <c r="I153" s="12" t="str">
        <f t="shared" si="2"/>
        <v/>
      </c>
    </row>
    <row r="154" spans="1:9" x14ac:dyDescent="0.3">
      <c r="A154">
        <v>310</v>
      </c>
      <c r="B154">
        <v>2323</v>
      </c>
      <c r="C154" t="s">
        <v>303</v>
      </c>
      <c r="D154" t="s">
        <v>253</v>
      </c>
      <c r="E154">
        <f>_xlfn.XLOOKUP(D154,Regije!B:B,Regije!A:A)</f>
        <v>2</v>
      </c>
      <c r="F154" t="b">
        <f>_xlfn.IFNA(_xlfn.XLOOKUP(C154,'regije_občine 212'!$D$4:$D$215,'regije_občine 212'!$D$4:$D$215)=C154,FALSE)</f>
        <v>0</v>
      </c>
      <c r="H154" t="str">
        <f>_xlfn.IFNA(_xlfn.XLOOKUP(C154,'regije_občine 212'!$D$4:$D$215,'regije_občine 212'!$B$4:$B$215),"")</f>
        <v/>
      </c>
      <c r="I154" s="12" t="str">
        <f t="shared" si="2"/>
        <v/>
      </c>
    </row>
    <row r="155" spans="1:9" x14ac:dyDescent="0.3">
      <c r="A155">
        <v>208</v>
      </c>
      <c r="B155">
        <v>2324</v>
      </c>
      <c r="C155" t="s">
        <v>279</v>
      </c>
      <c r="D155" t="s">
        <v>253</v>
      </c>
      <c r="E155">
        <f>_xlfn.XLOOKUP(D155,Regije!B:B,Regije!A:A)</f>
        <v>2</v>
      </c>
      <c r="F155" t="b">
        <f>_xlfn.IFNA(_xlfn.XLOOKUP(C155,'regije_občine 212'!$D$4:$D$215,'regije_občine 212'!$D$4:$D$215)=C155,FALSE)</f>
        <v>0</v>
      </c>
      <c r="H155" t="str">
        <f>_xlfn.IFNA(_xlfn.XLOOKUP(C155,'regije_občine 212'!$D$4:$D$215,'regije_občine 212'!$B$4:$B$215),"")</f>
        <v/>
      </c>
      <c r="I155" s="12" t="str">
        <f t="shared" si="2"/>
        <v/>
      </c>
    </row>
    <row r="156" spans="1:9" x14ac:dyDescent="0.3">
      <c r="A156">
        <v>144</v>
      </c>
      <c r="B156">
        <v>2325</v>
      </c>
      <c r="C156" t="s">
        <v>274</v>
      </c>
      <c r="D156" t="s">
        <v>253</v>
      </c>
      <c r="E156">
        <f>_xlfn.XLOOKUP(D156,Regije!B:B,Regije!A:A)</f>
        <v>2</v>
      </c>
      <c r="F156" t="b">
        <f>_xlfn.IFNA(_xlfn.XLOOKUP(C156,'regije_občine 212'!$D$4:$D$215,'regije_občine 212'!$D$4:$D$215)=C156,FALSE)</f>
        <v>1</v>
      </c>
      <c r="H156" t="str">
        <f>_xlfn.IFNA(_xlfn.XLOOKUP(C156,'regije_občine 212'!$D$4:$D$215,'regije_občine 212'!$B$4:$B$215),"")</f>
        <v>Podravska</v>
      </c>
      <c r="I156" s="12" t="str">
        <f t="shared" si="2"/>
        <v/>
      </c>
    </row>
    <row r="157" spans="1:9" x14ac:dyDescent="0.3">
      <c r="A157">
        <v>46</v>
      </c>
      <c r="B157">
        <v>2326</v>
      </c>
      <c r="C157" t="s">
        <v>258</v>
      </c>
      <c r="D157" t="s">
        <v>253</v>
      </c>
      <c r="E157">
        <f>_xlfn.XLOOKUP(D157,Regije!B:B,Regije!A:A)</f>
        <v>2</v>
      </c>
      <c r="F157" t="b">
        <f>_xlfn.IFNA(_xlfn.XLOOKUP(C157,'regije_občine 212'!$D$4:$D$215,'regije_občine 212'!$D$4:$D$215)=C157,FALSE)</f>
        <v>0</v>
      </c>
      <c r="H157" t="str">
        <f>_xlfn.IFNA(_xlfn.XLOOKUP(C157,'regije_občine 212'!$D$4:$D$215,'regije_občine 212'!$B$4:$B$215),"")</f>
        <v/>
      </c>
      <c r="I157" s="12" t="str">
        <f t="shared" si="2"/>
        <v/>
      </c>
    </row>
    <row r="158" spans="1:9" x14ac:dyDescent="0.3">
      <c r="A158">
        <v>312</v>
      </c>
      <c r="B158">
        <v>2327</v>
      </c>
      <c r="C158" t="s">
        <v>304</v>
      </c>
      <c r="D158" t="s">
        <v>253</v>
      </c>
      <c r="E158">
        <f>_xlfn.XLOOKUP(D158,Regije!B:B,Regije!A:A)</f>
        <v>2</v>
      </c>
      <c r="F158" t="b">
        <f>_xlfn.IFNA(_xlfn.XLOOKUP(C158,'regije_občine 212'!$D$4:$D$215,'regije_občine 212'!$D$4:$D$215)=C158,FALSE)</f>
        <v>0</v>
      </c>
      <c r="H158" t="str">
        <f>_xlfn.IFNA(_xlfn.XLOOKUP(C158,'regije_občine 212'!$D$4:$D$215,'regije_občine 212'!$B$4:$B$215),"")</f>
        <v/>
      </c>
      <c r="I158" s="12" t="str">
        <f t="shared" si="2"/>
        <v/>
      </c>
    </row>
    <row r="159" spans="1:9" x14ac:dyDescent="0.3">
      <c r="A159">
        <v>297</v>
      </c>
      <c r="B159">
        <v>2331</v>
      </c>
      <c r="C159" t="s">
        <v>301</v>
      </c>
      <c r="D159" t="s">
        <v>253</v>
      </c>
      <c r="E159">
        <f>_xlfn.XLOOKUP(D159,Regije!B:B,Regije!A:A)</f>
        <v>2</v>
      </c>
      <c r="F159" t="b">
        <f>_xlfn.IFNA(_xlfn.XLOOKUP(C159,'regije_občine 212'!$D$4:$D$215,'regije_občine 212'!$D$4:$D$215)=C159,FALSE)</f>
        <v>0</v>
      </c>
      <c r="H159" t="str">
        <f>_xlfn.IFNA(_xlfn.XLOOKUP(C159,'regije_občine 212'!$D$4:$D$215,'regije_občine 212'!$B$4:$B$215),"")</f>
        <v/>
      </c>
      <c r="I159" s="12" t="str">
        <f t="shared" si="2"/>
        <v/>
      </c>
    </row>
    <row r="160" spans="1:9" x14ac:dyDescent="0.3">
      <c r="A160">
        <v>187</v>
      </c>
      <c r="B160">
        <v>2341</v>
      </c>
      <c r="C160" t="s">
        <v>278</v>
      </c>
      <c r="D160" t="s">
        <v>253</v>
      </c>
      <c r="E160">
        <f>_xlfn.XLOOKUP(D160,Regije!B:B,Regije!A:A)</f>
        <v>2</v>
      </c>
      <c r="F160" t="b">
        <f>_xlfn.IFNA(_xlfn.XLOOKUP(C160,'regije_občine 212'!$D$4:$D$215,'regije_občine 212'!$D$4:$D$215)=C160,FALSE)</f>
        <v>0</v>
      </c>
      <c r="H160" t="str">
        <f>_xlfn.IFNA(_xlfn.XLOOKUP(C160,'regije_občine 212'!$D$4:$D$215,'regije_občine 212'!$B$4:$B$215),"")</f>
        <v/>
      </c>
      <c r="I160" s="12" t="str">
        <f t="shared" si="2"/>
        <v/>
      </c>
    </row>
    <row r="161" spans="1:9" x14ac:dyDescent="0.3">
      <c r="A161">
        <v>334</v>
      </c>
      <c r="B161">
        <v>2342</v>
      </c>
      <c r="C161" t="s">
        <v>305</v>
      </c>
      <c r="D161" t="s">
        <v>253</v>
      </c>
      <c r="E161">
        <f>_xlfn.XLOOKUP(D161,Regije!B:B,Regije!A:A)</f>
        <v>2</v>
      </c>
      <c r="F161" t="b">
        <f>_xlfn.IFNA(_xlfn.XLOOKUP(C161,'regije_občine 212'!$D$4:$D$215,'regije_občine 212'!$D$4:$D$215)=C161,FALSE)</f>
        <v>1</v>
      </c>
      <c r="H161" t="str">
        <f>_xlfn.IFNA(_xlfn.XLOOKUP(C161,'regije_občine 212'!$D$4:$D$215,'regije_občine 212'!$B$4:$B$215),"")</f>
        <v>Podravska</v>
      </c>
      <c r="I161" s="12" t="str">
        <f t="shared" si="2"/>
        <v/>
      </c>
    </row>
    <row r="162" spans="1:9" x14ac:dyDescent="0.3">
      <c r="A162">
        <v>87</v>
      </c>
      <c r="B162">
        <v>2343</v>
      </c>
      <c r="C162" t="s">
        <v>262</v>
      </c>
      <c r="D162" t="s">
        <v>253</v>
      </c>
      <c r="E162">
        <f>_xlfn.XLOOKUP(D162,Regije!B:B,Regije!A:A)</f>
        <v>2</v>
      </c>
      <c r="F162" t="b">
        <f>_xlfn.IFNA(_xlfn.XLOOKUP(C162,'regije_občine 212'!$D$4:$D$215,'regije_občine 212'!$D$4:$D$215)=C162,FALSE)</f>
        <v>0</v>
      </c>
      <c r="H162" t="str">
        <f>_xlfn.IFNA(_xlfn.XLOOKUP(C162,'regije_občine 212'!$D$4:$D$215,'regije_občine 212'!$B$4:$B$215),"")</f>
        <v/>
      </c>
      <c r="I162" s="12" t="str">
        <f t="shared" si="2"/>
        <v/>
      </c>
    </row>
    <row r="163" spans="1:9" x14ac:dyDescent="0.3">
      <c r="A163">
        <v>209</v>
      </c>
      <c r="B163">
        <v>2344</v>
      </c>
      <c r="C163" t="s">
        <v>280</v>
      </c>
      <c r="D163" t="s">
        <v>253</v>
      </c>
      <c r="E163">
        <f>_xlfn.XLOOKUP(D163,Regije!B:B,Regije!A:A)</f>
        <v>2</v>
      </c>
      <c r="F163" t="b">
        <f>_xlfn.IFNA(_xlfn.XLOOKUP(C163,'regije_občine 212'!$D$4:$D$215,'regije_občine 212'!$D$4:$D$215)=C163,FALSE)</f>
        <v>1</v>
      </c>
      <c r="H163" t="str">
        <f>_xlfn.IFNA(_xlfn.XLOOKUP(C163,'regije_občine 212'!$D$4:$D$215,'regije_občine 212'!$B$4:$B$215),"")</f>
        <v>Podravska</v>
      </c>
      <c r="I163" s="12" t="str">
        <f t="shared" si="2"/>
        <v/>
      </c>
    </row>
    <row r="164" spans="1:9" x14ac:dyDescent="0.3">
      <c r="A164">
        <v>10</v>
      </c>
      <c r="B164">
        <v>2345</v>
      </c>
      <c r="C164" t="s">
        <v>254</v>
      </c>
      <c r="D164" t="s">
        <v>253</v>
      </c>
      <c r="E164">
        <f>_xlfn.XLOOKUP(D164,Regije!B:B,Regije!A:A)</f>
        <v>2</v>
      </c>
      <c r="F164" t="b">
        <f>_xlfn.IFNA(_xlfn.XLOOKUP(C164,'regije_občine 212'!$D$4:$D$215,'regije_občine 212'!$D$4:$D$215)=C164,FALSE)</f>
        <v>0</v>
      </c>
      <c r="H164" t="str">
        <f>_xlfn.IFNA(_xlfn.XLOOKUP(C164,'regije_občine 212'!$D$4:$D$215,'regije_občine 212'!$B$4:$B$215),"")</f>
        <v/>
      </c>
      <c r="I164" s="12" t="str">
        <f t="shared" si="2"/>
        <v/>
      </c>
    </row>
    <row r="165" spans="1:9" x14ac:dyDescent="0.3">
      <c r="A165">
        <v>139</v>
      </c>
      <c r="B165">
        <v>2351</v>
      </c>
      <c r="C165" t="s">
        <v>272</v>
      </c>
      <c r="D165" t="s">
        <v>253</v>
      </c>
      <c r="E165">
        <f>_xlfn.XLOOKUP(D165,Regije!B:B,Regije!A:A)</f>
        <v>2</v>
      </c>
      <c r="F165" t="b">
        <f>_xlfn.IFNA(_xlfn.XLOOKUP(C165,'regije_občine 212'!$D$4:$D$215,'regije_občine 212'!$D$4:$D$215)=C165,FALSE)</f>
        <v>0</v>
      </c>
      <c r="H165" t="str">
        <f>_xlfn.IFNA(_xlfn.XLOOKUP(C165,'regije_občine 212'!$D$4:$D$215,'regije_občine 212'!$B$4:$B$215),"")</f>
        <v/>
      </c>
      <c r="I165" s="12" t="str">
        <f t="shared" si="2"/>
        <v/>
      </c>
    </row>
    <row r="166" spans="1:9" x14ac:dyDescent="0.3">
      <c r="A166">
        <v>338</v>
      </c>
      <c r="B166">
        <v>2352</v>
      </c>
      <c r="C166" t="s">
        <v>306</v>
      </c>
      <c r="D166" t="s">
        <v>253</v>
      </c>
      <c r="E166">
        <f>_xlfn.XLOOKUP(D166,Regije!B:B,Regije!A:A)</f>
        <v>2</v>
      </c>
      <c r="F166" t="b">
        <f>_xlfn.IFNA(_xlfn.XLOOKUP(C166,'regije_občine 212'!$D$4:$D$215,'regije_občine 212'!$D$4:$D$215)=C166,FALSE)</f>
        <v>1</v>
      </c>
      <c r="H166" t="str">
        <f>_xlfn.IFNA(_xlfn.XLOOKUP(C166,'regije_občine 212'!$D$4:$D$215,'regije_občine 212'!$B$4:$B$215),"")</f>
        <v>Podravska</v>
      </c>
      <c r="I166" s="12" t="str">
        <f t="shared" si="2"/>
        <v/>
      </c>
    </row>
    <row r="167" spans="1:9" x14ac:dyDescent="0.3">
      <c r="A167">
        <v>375</v>
      </c>
      <c r="B167">
        <v>2353</v>
      </c>
      <c r="C167" t="s">
        <v>313</v>
      </c>
      <c r="D167" t="s">
        <v>253</v>
      </c>
      <c r="E167">
        <f>_xlfn.XLOOKUP(D167,Regije!B:B,Regije!A:A)</f>
        <v>2</v>
      </c>
      <c r="F167" t="b">
        <f>_xlfn.IFNA(_xlfn.XLOOKUP(C167,'regije_občine 212'!$D$4:$D$215,'regije_občine 212'!$D$4:$D$215)=C167,FALSE)</f>
        <v>0</v>
      </c>
      <c r="H167" t="str">
        <f>_xlfn.IFNA(_xlfn.XLOOKUP(C167,'regije_občine 212'!$D$4:$D$215,'regije_občine 212'!$B$4:$B$215),"")</f>
        <v/>
      </c>
      <c r="I167" s="12" t="str">
        <f t="shared" si="2"/>
        <v/>
      </c>
    </row>
    <row r="168" spans="1:9" x14ac:dyDescent="0.3">
      <c r="A168">
        <v>29</v>
      </c>
      <c r="B168">
        <v>2354</v>
      </c>
      <c r="C168" t="s">
        <v>255</v>
      </c>
      <c r="D168" t="s">
        <v>253</v>
      </c>
      <c r="E168">
        <f>_xlfn.XLOOKUP(D168,Regije!B:B,Regije!A:A)</f>
        <v>2</v>
      </c>
      <c r="F168" t="b">
        <f>_xlfn.IFNA(_xlfn.XLOOKUP(C168,'regije_občine 212'!$D$4:$D$215,'regije_občine 212'!$D$4:$D$215)=C168,FALSE)</f>
        <v>0</v>
      </c>
      <c r="H168" t="str">
        <f>_xlfn.IFNA(_xlfn.XLOOKUP(C168,'regije_občine 212'!$D$4:$D$215,'regije_občine 212'!$B$4:$B$215),"")</f>
        <v/>
      </c>
      <c r="I168" s="12" t="str">
        <f t="shared" si="2"/>
        <v/>
      </c>
    </row>
    <row r="169" spans="1:9" x14ac:dyDescent="0.3">
      <c r="A169">
        <v>315</v>
      </c>
      <c r="B169">
        <v>2360</v>
      </c>
      <c r="C169" t="s">
        <v>153</v>
      </c>
      <c r="D169" t="s">
        <v>143</v>
      </c>
      <c r="E169">
        <f>_xlfn.XLOOKUP(D169,Regije!B:B,Regije!A:A)</f>
        <v>3</v>
      </c>
      <c r="F169" t="b">
        <f>_xlfn.IFNA(_xlfn.XLOOKUP(C169,'regije_občine 212'!$D$4:$D$215,'regije_občine 212'!$D$4:$D$215)=C169,FALSE)</f>
        <v>1</v>
      </c>
      <c r="H169" t="str">
        <f>_xlfn.IFNA(_xlfn.XLOOKUP(C169,'regije_občine 212'!$D$4:$D$215,'regije_občine 212'!$B$4:$B$215),"")</f>
        <v>Koroška</v>
      </c>
      <c r="I169" s="12" t="str">
        <f t="shared" si="2"/>
        <v/>
      </c>
    </row>
    <row r="170" spans="1:9" x14ac:dyDescent="0.3">
      <c r="A170">
        <v>262</v>
      </c>
      <c r="B170">
        <v>2361</v>
      </c>
      <c r="C170" t="s">
        <v>293</v>
      </c>
      <c r="D170" t="s">
        <v>253</v>
      </c>
      <c r="E170">
        <f>_xlfn.XLOOKUP(D170,Regije!B:B,Regije!A:A)</f>
        <v>2</v>
      </c>
      <c r="F170" t="b">
        <f>_xlfn.IFNA(_xlfn.XLOOKUP(C170,'regije_občine 212'!$D$4:$D$215,'regije_občine 212'!$D$4:$D$215)=C170,FALSE)</f>
        <v>0</v>
      </c>
      <c r="H170" t="str">
        <f>_xlfn.IFNA(_xlfn.XLOOKUP(C170,'regije_občine 212'!$D$4:$D$215,'regije_občine 212'!$B$4:$B$215),"")</f>
        <v/>
      </c>
      <c r="I170" s="12" t="str">
        <f t="shared" si="2"/>
        <v/>
      </c>
    </row>
    <row r="171" spans="1:9" x14ac:dyDescent="0.3">
      <c r="A171">
        <v>143</v>
      </c>
      <c r="B171">
        <v>2362</v>
      </c>
      <c r="C171" t="s">
        <v>273</v>
      </c>
      <c r="D171" t="s">
        <v>253</v>
      </c>
      <c r="E171">
        <f>_xlfn.XLOOKUP(D171,Regije!B:B,Regije!A:A)</f>
        <v>2</v>
      </c>
      <c r="F171" t="b">
        <f>_xlfn.IFNA(_xlfn.XLOOKUP(C171,'regije_občine 212'!$D$4:$D$215,'regije_občine 212'!$D$4:$D$215)=C171,FALSE)</f>
        <v>0</v>
      </c>
      <c r="H171" t="str">
        <f>_xlfn.IFNA(_xlfn.XLOOKUP(C171,'regije_občine 212'!$D$4:$D$215,'regije_občine 212'!$B$4:$B$215),"")</f>
        <v/>
      </c>
      <c r="I171" s="12" t="str">
        <f t="shared" si="2"/>
        <v/>
      </c>
    </row>
    <row r="172" spans="1:9" x14ac:dyDescent="0.3">
      <c r="A172">
        <v>286</v>
      </c>
      <c r="B172">
        <v>2363</v>
      </c>
      <c r="C172" t="s">
        <v>151</v>
      </c>
      <c r="D172" t="s">
        <v>143</v>
      </c>
      <c r="E172">
        <f>_xlfn.XLOOKUP(D172,Regije!B:B,Regije!A:A)</f>
        <v>3</v>
      </c>
      <c r="F172" t="b">
        <f>_xlfn.IFNA(_xlfn.XLOOKUP(C172,'regije_občine 212'!$D$4:$D$215,'regije_občine 212'!$D$4:$D$215)=C172,FALSE)</f>
        <v>1</v>
      </c>
      <c r="H172" t="str">
        <f>_xlfn.IFNA(_xlfn.XLOOKUP(C172,'regije_občine 212'!$D$4:$D$215,'regije_občine 212'!$B$4:$B$215),"")</f>
        <v>Koroška</v>
      </c>
      <c r="I172" s="12" t="str">
        <f t="shared" si="2"/>
        <v/>
      </c>
    </row>
    <row r="173" spans="1:9" x14ac:dyDescent="0.3">
      <c r="A173">
        <v>326</v>
      </c>
      <c r="B173">
        <v>2364</v>
      </c>
      <c r="C173" t="s">
        <v>155</v>
      </c>
      <c r="D173" t="s">
        <v>143</v>
      </c>
      <c r="E173">
        <f>_xlfn.XLOOKUP(D173,Regije!B:B,Regije!A:A)</f>
        <v>3</v>
      </c>
      <c r="F173" t="b">
        <f>_xlfn.IFNA(_xlfn.XLOOKUP(C173,'regije_občine 212'!$D$4:$D$215,'regije_občine 212'!$D$4:$D$215)=C173,FALSE)</f>
        <v>1</v>
      </c>
      <c r="H173" t="str">
        <f>_xlfn.IFNA(_xlfn.XLOOKUP(C173,'regije_občine 212'!$D$4:$D$215,'regije_občine 212'!$B$4:$B$215),"")</f>
        <v>Koroška</v>
      </c>
      <c r="I173" s="12" t="str">
        <f t="shared" si="2"/>
        <v/>
      </c>
    </row>
    <row r="174" spans="1:9" x14ac:dyDescent="0.3">
      <c r="A174">
        <v>454</v>
      </c>
      <c r="B174">
        <v>2365</v>
      </c>
      <c r="C174" t="s">
        <v>160</v>
      </c>
      <c r="D174" t="s">
        <v>143</v>
      </c>
      <c r="E174">
        <f>_xlfn.XLOOKUP(D174,Regije!B:B,Regije!A:A)</f>
        <v>3</v>
      </c>
      <c r="F174" t="b">
        <f>_xlfn.IFNA(_xlfn.XLOOKUP(C174,'regije_občine 212'!$D$4:$D$215,'regije_občine 212'!$D$4:$D$215)=C174,FALSE)</f>
        <v>0</v>
      </c>
      <c r="H174" t="str">
        <f>_xlfn.IFNA(_xlfn.XLOOKUP(C174,'regije_občine 212'!$D$4:$D$215,'regije_občine 212'!$B$4:$B$215),"")</f>
        <v/>
      </c>
      <c r="I174" s="12" t="str">
        <f t="shared" si="2"/>
        <v/>
      </c>
    </row>
    <row r="175" spans="1:9" x14ac:dyDescent="0.3">
      <c r="A175">
        <v>244</v>
      </c>
      <c r="B175">
        <v>2366</v>
      </c>
      <c r="C175" t="s">
        <v>149</v>
      </c>
      <c r="D175" t="s">
        <v>143</v>
      </c>
      <c r="E175">
        <f>_xlfn.XLOOKUP(D175,Regije!B:B,Regije!A:A)</f>
        <v>3</v>
      </c>
      <c r="F175" t="b">
        <f>_xlfn.IFNA(_xlfn.XLOOKUP(C175,'regije_občine 212'!$D$4:$D$215,'regije_občine 212'!$D$4:$D$215)=C175,FALSE)</f>
        <v>1</v>
      </c>
      <c r="H175" t="str">
        <f>_xlfn.IFNA(_xlfn.XLOOKUP(C175,'regije_občine 212'!$D$4:$D$215,'regije_občine 212'!$B$4:$B$215),"")</f>
        <v>Koroška</v>
      </c>
      <c r="I175" s="12" t="str">
        <f t="shared" si="2"/>
        <v/>
      </c>
    </row>
    <row r="176" spans="1:9" x14ac:dyDescent="0.3">
      <c r="A176">
        <v>455</v>
      </c>
      <c r="B176">
        <v>2367</v>
      </c>
      <c r="C176" t="s">
        <v>161</v>
      </c>
      <c r="D176" t="s">
        <v>143</v>
      </c>
      <c r="E176">
        <f>_xlfn.XLOOKUP(D176,Regije!B:B,Regije!A:A)</f>
        <v>3</v>
      </c>
      <c r="F176" t="b">
        <f>_xlfn.IFNA(_xlfn.XLOOKUP(C176,'regije_občine 212'!$D$4:$D$215,'regije_občine 212'!$D$4:$D$215)=C176,FALSE)</f>
        <v>1</v>
      </c>
      <c r="H176" t="str">
        <f>_xlfn.IFNA(_xlfn.XLOOKUP(C176,'regije_občine 212'!$D$4:$D$215,'regije_občine 212'!$B$4:$B$215),"")</f>
        <v>Koroška</v>
      </c>
      <c r="I176" s="12" t="str">
        <f t="shared" si="2"/>
        <v/>
      </c>
    </row>
    <row r="177" spans="1:9" x14ac:dyDescent="0.3">
      <c r="A177">
        <v>83</v>
      </c>
      <c r="B177">
        <v>2370</v>
      </c>
      <c r="C177" t="s">
        <v>144</v>
      </c>
      <c r="D177" t="s">
        <v>143</v>
      </c>
      <c r="E177">
        <f>_xlfn.XLOOKUP(D177,Regije!B:B,Regije!A:A)</f>
        <v>3</v>
      </c>
      <c r="F177" t="b">
        <f>_xlfn.IFNA(_xlfn.XLOOKUP(C177,'regije_občine 212'!$D$4:$D$215,'regije_občine 212'!$D$4:$D$215)=C177,FALSE)</f>
        <v>1</v>
      </c>
      <c r="H177" t="str">
        <f>_xlfn.IFNA(_xlfn.XLOOKUP(C177,'regije_občine 212'!$D$4:$D$215,'regije_občine 212'!$B$4:$B$215),"")</f>
        <v>Koroška</v>
      </c>
      <c r="I177" s="12" t="str">
        <f t="shared" si="2"/>
        <v/>
      </c>
    </row>
    <row r="178" spans="1:9" x14ac:dyDescent="0.3">
      <c r="A178">
        <v>417</v>
      </c>
      <c r="B178">
        <v>2371</v>
      </c>
      <c r="C178" t="s">
        <v>159</v>
      </c>
      <c r="D178" t="s">
        <v>143</v>
      </c>
      <c r="E178">
        <f>_xlfn.XLOOKUP(D178,Regije!B:B,Regije!A:A)</f>
        <v>3</v>
      </c>
      <c r="F178" t="b">
        <f>_xlfn.IFNA(_xlfn.XLOOKUP(C178,'regije_občine 212'!$D$4:$D$215,'regije_občine 212'!$D$4:$D$215)=C178,FALSE)</f>
        <v>0</v>
      </c>
      <c r="H178" t="str">
        <f>_xlfn.IFNA(_xlfn.XLOOKUP(C178,'regije_občine 212'!$D$4:$D$215,'regije_občine 212'!$B$4:$B$215),"")</f>
        <v/>
      </c>
      <c r="I178" s="12" t="str">
        <f t="shared" si="2"/>
        <v/>
      </c>
    </row>
    <row r="179" spans="1:9" x14ac:dyDescent="0.3">
      <c r="A179">
        <v>186</v>
      </c>
      <c r="B179">
        <v>2372</v>
      </c>
      <c r="C179" t="s">
        <v>146</v>
      </c>
      <c r="D179" t="s">
        <v>143</v>
      </c>
      <c r="E179">
        <f>_xlfn.XLOOKUP(D179,Regije!B:B,Regije!A:A)</f>
        <v>3</v>
      </c>
      <c r="F179" t="b">
        <f>_xlfn.IFNA(_xlfn.XLOOKUP(C179,'regije_občine 212'!$D$4:$D$215,'regije_občine 212'!$D$4:$D$215)=C179,FALSE)</f>
        <v>0</v>
      </c>
      <c r="H179" t="str">
        <f>_xlfn.IFNA(_xlfn.XLOOKUP(C179,'regije_občine 212'!$D$4:$D$215,'regije_občine 212'!$B$4:$B$215),"")</f>
        <v/>
      </c>
      <c r="I179" s="12" t="str">
        <f t="shared" si="2"/>
        <v/>
      </c>
    </row>
    <row r="180" spans="1:9" x14ac:dyDescent="0.3">
      <c r="A180">
        <v>388</v>
      </c>
      <c r="B180">
        <v>2373</v>
      </c>
      <c r="C180" t="s">
        <v>157</v>
      </c>
      <c r="D180" t="s">
        <v>143</v>
      </c>
      <c r="E180">
        <f>_xlfn.XLOOKUP(D180,Regije!B:B,Regije!A:A)</f>
        <v>3</v>
      </c>
      <c r="F180" t="b">
        <f>_xlfn.IFNA(_xlfn.XLOOKUP(C180,'regije_občine 212'!$D$4:$D$215,'regije_občine 212'!$D$4:$D$215)=C180,FALSE)</f>
        <v>0</v>
      </c>
      <c r="H180" t="str">
        <f>_xlfn.IFNA(_xlfn.XLOOKUP(C180,'regije_občine 212'!$D$4:$D$215,'regije_občine 212'!$B$4:$B$215),"")</f>
        <v/>
      </c>
      <c r="I180" s="12" t="str">
        <f t="shared" si="2"/>
        <v/>
      </c>
    </row>
    <row r="181" spans="1:9" x14ac:dyDescent="0.3">
      <c r="A181">
        <v>346</v>
      </c>
      <c r="B181">
        <v>2380</v>
      </c>
      <c r="C181" t="s">
        <v>156</v>
      </c>
      <c r="D181" t="s">
        <v>143</v>
      </c>
      <c r="E181">
        <f>_xlfn.XLOOKUP(D181,Regije!B:B,Regije!A:A)</f>
        <v>3</v>
      </c>
      <c r="F181" t="b">
        <f>_xlfn.IFNA(_xlfn.XLOOKUP(C181,'regije_občine 212'!$D$4:$D$215,'regije_občine 212'!$D$4:$D$215)=C181,FALSE)</f>
        <v>1</v>
      </c>
      <c r="H181" t="str">
        <f>_xlfn.IFNA(_xlfn.XLOOKUP(C181,'regije_občine 212'!$D$4:$D$215,'regije_občine 212'!$B$4:$B$215),"")</f>
        <v>Koroška</v>
      </c>
      <c r="I181" s="12" t="str">
        <f t="shared" si="2"/>
        <v/>
      </c>
    </row>
    <row r="182" spans="1:9" x14ac:dyDescent="0.3">
      <c r="A182">
        <v>278</v>
      </c>
      <c r="B182">
        <v>2381</v>
      </c>
      <c r="C182" t="s">
        <v>150</v>
      </c>
      <c r="D182" t="s">
        <v>143</v>
      </c>
      <c r="E182">
        <f>_xlfn.XLOOKUP(D182,Regije!B:B,Regije!A:A)</f>
        <v>3</v>
      </c>
      <c r="F182" t="b">
        <f>_xlfn.IFNA(_xlfn.XLOOKUP(C182,'regije_občine 212'!$D$4:$D$215,'regije_občine 212'!$D$4:$D$215)=C182,FALSE)</f>
        <v>0</v>
      </c>
      <c r="H182" t="str">
        <f>_xlfn.IFNA(_xlfn.XLOOKUP(C182,'regije_občine 212'!$D$4:$D$215,'regije_občine 212'!$B$4:$B$215),"")</f>
        <v/>
      </c>
      <c r="I182" s="12" t="str">
        <f t="shared" si="2"/>
        <v/>
      </c>
    </row>
    <row r="183" spans="1:9" x14ac:dyDescent="0.3">
      <c r="A183">
        <v>234</v>
      </c>
      <c r="B183">
        <v>2382</v>
      </c>
      <c r="C183" t="s">
        <v>148</v>
      </c>
      <c r="D183" t="s">
        <v>143</v>
      </c>
      <c r="E183">
        <f>_xlfn.XLOOKUP(D183,Regije!B:B,Regije!A:A)</f>
        <v>3</v>
      </c>
      <c r="F183" t="b">
        <f>_xlfn.IFNA(_xlfn.XLOOKUP(C183,'regije_občine 212'!$D$4:$D$215,'regije_občine 212'!$D$4:$D$215)=C183,FALSE)</f>
        <v>1</v>
      </c>
      <c r="H183" t="str">
        <f>_xlfn.IFNA(_xlfn.XLOOKUP(C183,'regije_občine 212'!$D$4:$D$215,'regije_občine 212'!$B$4:$B$215),"")</f>
        <v>Koroška</v>
      </c>
      <c r="I183" s="12" t="str">
        <f t="shared" si="2"/>
        <v/>
      </c>
    </row>
    <row r="184" spans="1:9" x14ac:dyDescent="0.3">
      <c r="A184">
        <v>407</v>
      </c>
      <c r="B184">
        <v>2383</v>
      </c>
      <c r="C184" t="s">
        <v>158</v>
      </c>
      <c r="D184" t="s">
        <v>143</v>
      </c>
      <c r="E184">
        <f>_xlfn.XLOOKUP(D184,Regije!B:B,Regije!A:A)</f>
        <v>3</v>
      </c>
      <c r="F184" t="b">
        <f>_xlfn.IFNA(_xlfn.XLOOKUP(C184,'regije_občine 212'!$D$4:$D$215,'regije_občine 212'!$D$4:$D$215)=C184,FALSE)</f>
        <v>0</v>
      </c>
      <c r="H184" t="str">
        <f>_xlfn.IFNA(_xlfn.XLOOKUP(C184,'regije_občine 212'!$D$4:$D$215,'regije_občine 212'!$B$4:$B$215),"")</f>
        <v/>
      </c>
      <c r="I184" s="12" t="str">
        <f t="shared" si="2"/>
        <v/>
      </c>
    </row>
    <row r="185" spans="1:9" x14ac:dyDescent="0.3">
      <c r="A185">
        <v>321</v>
      </c>
      <c r="B185">
        <v>2390</v>
      </c>
      <c r="C185" t="s">
        <v>154</v>
      </c>
      <c r="D185" t="s">
        <v>143</v>
      </c>
      <c r="E185">
        <f>_xlfn.XLOOKUP(D185,Regije!B:B,Regije!A:A)</f>
        <v>3</v>
      </c>
      <c r="F185" t="b">
        <f>_xlfn.IFNA(_xlfn.XLOOKUP(C185,'regije_občine 212'!$D$4:$D$215,'regije_občine 212'!$D$4:$D$215)=C185,FALSE)</f>
        <v>1</v>
      </c>
      <c r="H185" t="str">
        <f>_xlfn.IFNA(_xlfn.XLOOKUP(C185,'regije_občine 212'!$D$4:$D$215,'regije_občine 212'!$B$4:$B$215),"")</f>
        <v>Koroška</v>
      </c>
      <c r="I185" s="12" t="str">
        <f t="shared" si="2"/>
        <v/>
      </c>
    </row>
    <row r="186" spans="1:9" x14ac:dyDescent="0.3">
      <c r="A186">
        <v>303</v>
      </c>
      <c r="B186">
        <v>2391</v>
      </c>
      <c r="C186" t="s">
        <v>152</v>
      </c>
      <c r="D186" t="s">
        <v>143</v>
      </c>
      <c r="E186">
        <f>_xlfn.XLOOKUP(D186,Regije!B:B,Regije!A:A)</f>
        <v>3</v>
      </c>
      <c r="F186" t="b">
        <f>_xlfn.IFNA(_xlfn.XLOOKUP(C186,'regije_občine 212'!$D$4:$D$215,'regije_občine 212'!$D$4:$D$215)=C186,FALSE)</f>
        <v>1</v>
      </c>
      <c r="H186" t="str">
        <f>_xlfn.IFNA(_xlfn.XLOOKUP(C186,'regije_občine 212'!$D$4:$D$215,'regije_občine 212'!$B$4:$B$215),"")</f>
        <v>Koroška</v>
      </c>
      <c r="I186" s="12" t="str">
        <f t="shared" si="2"/>
        <v/>
      </c>
    </row>
    <row r="187" spans="1:9" x14ac:dyDescent="0.3">
      <c r="A187">
        <v>228</v>
      </c>
      <c r="B187">
        <v>2392</v>
      </c>
      <c r="C187" t="s">
        <v>147</v>
      </c>
      <c r="D187" t="s">
        <v>143</v>
      </c>
      <c r="E187">
        <f>_xlfn.XLOOKUP(D187,Regije!B:B,Regije!A:A)</f>
        <v>3</v>
      </c>
      <c r="F187" t="b">
        <f>_xlfn.IFNA(_xlfn.XLOOKUP(C187,'regije_občine 212'!$D$4:$D$215,'regije_občine 212'!$D$4:$D$215)=C187,FALSE)</f>
        <v>1</v>
      </c>
      <c r="H187" t="str">
        <f>_xlfn.IFNA(_xlfn.XLOOKUP(C187,'regije_občine 212'!$D$4:$D$215,'regije_občine 212'!$B$4:$B$215),"")</f>
        <v>Koroška</v>
      </c>
      <c r="I187" s="12" t="str">
        <f t="shared" si="2"/>
        <v/>
      </c>
    </row>
    <row r="188" spans="1:9" x14ac:dyDescent="0.3">
      <c r="A188">
        <v>53</v>
      </c>
      <c r="B188">
        <v>2393</v>
      </c>
      <c r="C188" t="s">
        <v>142</v>
      </c>
      <c r="D188" t="s">
        <v>143</v>
      </c>
      <c r="E188">
        <f>_xlfn.XLOOKUP(D188,Regije!B:B,Regije!A:A)</f>
        <v>3</v>
      </c>
      <c r="F188" t="b">
        <f>_xlfn.IFNA(_xlfn.XLOOKUP(C188,'regije_občine 212'!$D$4:$D$215,'regije_občine 212'!$D$4:$D$215)=C188,FALSE)</f>
        <v>1</v>
      </c>
      <c r="H188" t="str">
        <f>_xlfn.IFNA(_xlfn.XLOOKUP(C188,'regije_občine 212'!$D$4:$D$215,'regije_občine 212'!$B$4:$B$215),"")</f>
        <v>Koroška</v>
      </c>
      <c r="I188" s="12" t="str">
        <f t="shared" si="2"/>
        <v/>
      </c>
    </row>
    <row r="189" spans="1:9" x14ac:dyDescent="0.3">
      <c r="A189">
        <v>162</v>
      </c>
      <c r="B189">
        <v>2394</v>
      </c>
      <c r="C189" t="s">
        <v>145</v>
      </c>
      <c r="D189" t="s">
        <v>143</v>
      </c>
      <c r="E189">
        <f>_xlfn.XLOOKUP(D189,Regije!B:B,Regije!A:A)</f>
        <v>3</v>
      </c>
      <c r="F189" t="b">
        <f>_xlfn.IFNA(_xlfn.XLOOKUP(C189,'regije_občine 212'!$D$4:$D$215,'regije_občine 212'!$D$4:$D$215)=C189,FALSE)</f>
        <v>0</v>
      </c>
      <c r="H189" t="str">
        <f>_xlfn.IFNA(_xlfn.XLOOKUP(C189,'regije_občine 212'!$D$4:$D$215,'regije_občine 212'!$B$4:$B$215),"")</f>
        <v/>
      </c>
      <c r="I189" s="12" t="str">
        <f t="shared" si="2"/>
        <v/>
      </c>
    </row>
    <row r="190" spans="1:9" x14ac:dyDescent="0.3">
      <c r="A190">
        <v>38</v>
      </c>
      <c r="B190">
        <v>3000</v>
      </c>
      <c r="C190" t="s">
        <v>423</v>
      </c>
      <c r="D190" t="s">
        <v>420</v>
      </c>
      <c r="E190">
        <f>_xlfn.XLOOKUP(D190,Regije!B:B,Regije!A:A)</f>
        <v>4</v>
      </c>
      <c r="F190" t="b">
        <f>_xlfn.IFNA(_xlfn.XLOOKUP(C190,'regije_občine 212'!$D$4:$D$215,'regije_občine 212'!$D$4:$D$215)=C190,FALSE)</f>
        <v>1</v>
      </c>
      <c r="H190" t="str">
        <f>_xlfn.IFNA(_xlfn.XLOOKUP(C190,'regije_občine 212'!$D$4:$D$215,'regije_občine 212'!$B$4:$B$215),"")</f>
        <v>Savinjska</v>
      </c>
      <c r="I190" s="12" t="str">
        <f t="shared" si="2"/>
        <v/>
      </c>
    </row>
    <row r="191" spans="1:9" x14ac:dyDescent="0.3">
      <c r="A191">
        <v>39</v>
      </c>
      <c r="B191">
        <v>3001</v>
      </c>
      <c r="C191" t="s">
        <v>424</v>
      </c>
      <c r="D191" t="s">
        <v>420</v>
      </c>
      <c r="E191">
        <f>_xlfn.XLOOKUP(D191,Regije!B:B,Regije!A:A)</f>
        <v>4</v>
      </c>
      <c r="F191" t="b">
        <f>_xlfn.IFNA(_xlfn.XLOOKUP(C191,'regije_občine 212'!$D$4:$D$215,'regije_občine 212'!$D$4:$D$215)=C191,FALSE)</f>
        <v>0</v>
      </c>
      <c r="H191" t="str">
        <f>_xlfn.IFNA(_xlfn.XLOOKUP(C191,'regije_občine 212'!$D$4:$D$215,'regije_občine 212'!$B$4:$B$215),"")</f>
        <v/>
      </c>
      <c r="I191" s="12" t="str">
        <f t="shared" si="2"/>
        <v/>
      </c>
    </row>
    <row r="192" spans="1:9" x14ac:dyDescent="0.3">
      <c r="A192">
        <v>408</v>
      </c>
      <c r="B192">
        <v>3201</v>
      </c>
      <c r="C192" t="s">
        <v>471</v>
      </c>
      <c r="D192" t="s">
        <v>420</v>
      </c>
      <c r="E192">
        <f>_xlfn.XLOOKUP(D192,Regije!B:B,Regije!A:A)</f>
        <v>4</v>
      </c>
      <c r="F192" t="b">
        <f>_xlfn.IFNA(_xlfn.XLOOKUP(C192,'regije_občine 212'!$D$4:$D$215,'regije_občine 212'!$D$4:$D$215)=C192,FALSE)</f>
        <v>0</v>
      </c>
      <c r="H192" t="str">
        <f>_xlfn.IFNA(_xlfn.XLOOKUP(C192,'regije_občine 212'!$D$4:$D$215,'regije_občine 212'!$B$4:$B$215),"")</f>
        <v/>
      </c>
      <c r="I192" s="12" t="str">
        <f t="shared" si="2"/>
        <v/>
      </c>
    </row>
    <row r="193" spans="1:9" x14ac:dyDescent="0.3">
      <c r="A193">
        <v>189</v>
      </c>
      <c r="B193">
        <v>3202</v>
      </c>
      <c r="C193" t="s">
        <v>439</v>
      </c>
      <c r="D193" t="s">
        <v>420</v>
      </c>
      <c r="E193">
        <f>_xlfn.XLOOKUP(D193,Regije!B:B,Regije!A:A)</f>
        <v>4</v>
      </c>
      <c r="F193" t="b">
        <f>_xlfn.IFNA(_xlfn.XLOOKUP(C193,'regije_občine 212'!$D$4:$D$215,'regije_občine 212'!$D$4:$D$215)=C193,FALSE)</f>
        <v>0</v>
      </c>
      <c r="H193" t="str">
        <f>_xlfn.IFNA(_xlfn.XLOOKUP(C193,'regije_občine 212'!$D$4:$D$215,'regije_občine 212'!$B$4:$B$215),"")</f>
        <v/>
      </c>
      <c r="I193" s="12" t="str">
        <f t="shared" si="2"/>
        <v/>
      </c>
    </row>
    <row r="194" spans="1:9" x14ac:dyDescent="0.3">
      <c r="A194">
        <v>248</v>
      </c>
      <c r="B194">
        <v>3203</v>
      </c>
      <c r="C194" t="s">
        <v>446</v>
      </c>
      <c r="D194" t="s">
        <v>420</v>
      </c>
      <c r="E194">
        <f>_xlfn.XLOOKUP(D194,Regije!B:B,Regije!A:A)</f>
        <v>4</v>
      </c>
      <c r="F194" t="b">
        <f>_xlfn.IFNA(_xlfn.XLOOKUP(C194,'regije_občine 212'!$D$4:$D$215,'regije_občine 212'!$D$4:$D$215)=C194,FALSE)</f>
        <v>0</v>
      </c>
      <c r="H194" t="str">
        <f>_xlfn.IFNA(_xlfn.XLOOKUP(C194,'regije_občine 212'!$D$4:$D$215,'regije_občine 212'!$B$4:$B$215),"")</f>
        <v/>
      </c>
      <c r="I194" s="12" t="str">
        <f t="shared" si="2"/>
        <v/>
      </c>
    </row>
    <row r="195" spans="1:9" x14ac:dyDescent="0.3">
      <c r="A195">
        <v>67</v>
      </c>
      <c r="B195">
        <v>3204</v>
      </c>
      <c r="C195" t="s">
        <v>426</v>
      </c>
      <c r="D195" t="s">
        <v>420</v>
      </c>
      <c r="E195">
        <f>_xlfn.XLOOKUP(D195,Regije!B:B,Regije!A:A)</f>
        <v>4</v>
      </c>
      <c r="F195" t="b">
        <f>_xlfn.IFNA(_xlfn.XLOOKUP(C195,'regije_občine 212'!$D$4:$D$215,'regije_občine 212'!$D$4:$D$215)=C195,FALSE)</f>
        <v>1</v>
      </c>
      <c r="H195" t="str">
        <f>_xlfn.IFNA(_xlfn.XLOOKUP(C195,'regije_občine 212'!$D$4:$D$215,'regije_občine 212'!$B$4:$B$215),"")</f>
        <v>Savinjska</v>
      </c>
      <c r="I195" s="12" t="str">
        <f t="shared" ref="I195:I258" si="3">IF(AND(H195&lt;&gt;"",H195&lt;&gt;D195),"drugačna regija!","")</f>
        <v/>
      </c>
    </row>
    <row r="196" spans="1:9" x14ac:dyDescent="0.3">
      <c r="A196">
        <v>445</v>
      </c>
      <c r="B196">
        <v>3205</v>
      </c>
      <c r="C196" t="s">
        <v>478</v>
      </c>
      <c r="D196" t="s">
        <v>420</v>
      </c>
      <c r="E196">
        <f>_xlfn.XLOOKUP(D196,Regije!B:B,Regije!A:A)</f>
        <v>4</v>
      </c>
      <c r="F196" t="b">
        <f>_xlfn.IFNA(_xlfn.XLOOKUP(C196,'regije_občine 212'!$D$4:$D$215,'regije_občine 212'!$D$4:$D$215)=C196,FALSE)</f>
        <v>1</v>
      </c>
      <c r="H196" t="str">
        <f>_xlfn.IFNA(_xlfn.XLOOKUP(C196,'regije_občine 212'!$D$4:$D$215,'regije_občine 212'!$B$4:$B$215),"")</f>
        <v>Savinjska</v>
      </c>
      <c r="I196" s="12" t="str">
        <f t="shared" si="3"/>
        <v/>
      </c>
    </row>
    <row r="197" spans="1:9" x14ac:dyDescent="0.3">
      <c r="A197">
        <v>370</v>
      </c>
      <c r="B197">
        <v>3206</v>
      </c>
      <c r="C197" t="s">
        <v>463</v>
      </c>
      <c r="D197" t="s">
        <v>420</v>
      </c>
      <c r="E197">
        <f>_xlfn.XLOOKUP(D197,Regije!B:B,Regije!A:A)</f>
        <v>4</v>
      </c>
      <c r="F197" t="b">
        <f>_xlfn.IFNA(_xlfn.XLOOKUP(C197,'regije_občine 212'!$D$4:$D$215,'regije_občine 212'!$D$4:$D$215)=C197,FALSE)</f>
        <v>0</v>
      </c>
      <c r="H197" t="str">
        <f>_xlfn.IFNA(_xlfn.XLOOKUP(C197,'regije_občine 212'!$D$4:$D$215,'regije_občine 212'!$B$4:$B$215),"")</f>
        <v/>
      </c>
      <c r="I197" s="12" t="str">
        <f t="shared" si="3"/>
        <v/>
      </c>
    </row>
    <row r="198" spans="1:9" x14ac:dyDescent="0.3">
      <c r="A198">
        <v>348</v>
      </c>
      <c r="B198">
        <v>3210</v>
      </c>
      <c r="C198" t="s">
        <v>461</v>
      </c>
      <c r="D198" t="s">
        <v>420</v>
      </c>
      <c r="E198">
        <f>_xlfn.XLOOKUP(D198,Regije!B:B,Regije!A:A)</f>
        <v>4</v>
      </c>
      <c r="F198" t="b">
        <f>_xlfn.IFNA(_xlfn.XLOOKUP(C198,'regije_občine 212'!$D$4:$D$215,'regije_občine 212'!$D$4:$D$215)=C198,FALSE)</f>
        <v>1</v>
      </c>
      <c r="H198" t="str">
        <f>_xlfn.IFNA(_xlfn.XLOOKUP(C198,'regije_občine 212'!$D$4:$D$215,'regije_občine 212'!$B$4:$B$215),"")</f>
        <v>Savinjska</v>
      </c>
      <c r="I198" s="12" t="str">
        <f t="shared" si="3"/>
        <v/>
      </c>
    </row>
    <row r="199" spans="1:9" x14ac:dyDescent="0.3">
      <c r="A199">
        <v>397</v>
      </c>
      <c r="B199">
        <v>3211</v>
      </c>
      <c r="C199" t="s">
        <v>467</v>
      </c>
      <c r="D199" t="s">
        <v>420</v>
      </c>
      <c r="E199">
        <f>_xlfn.XLOOKUP(D199,Regije!B:B,Regije!A:A)</f>
        <v>4</v>
      </c>
      <c r="F199" t="b">
        <f>_xlfn.IFNA(_xlfn.XLOOKUP(C199,'regije_občine 212'!$D$4:$D$215,'regije_občine 212'!$D$4:$D$215)=C199,FALSE)</f>
        <v>0</v>
      </c>
      <c r="H199" t="str">
        <f>_xlfn.IFNA(_xlfn.XLOOKUP(C199,'regije_občine 212'!$D$4:$D$215,'regije_občine 212'!$B$4:$B$215),"")</f>
        <v/>
      </c>
      <c r="I199" s="12" t="str">
        <f t="shared" si="3"/>
        <v/>
      </c>
    </row>
    <row r="200" spans="1:9" x14ac:dyDescent="0.3">
      <c r="A200">
        <v>448</v>
      </c>
      <c r="B200">
        <v>3212</v>
      </c>
      <c r="C200" t="s">
        <v>479</v>
      </c>
      <c r="D200" t="s">
        <v>420</v>
      </c>
      <c r="E200">
        <f>_xlfn.XLOOKUP(D200,Regije!B:B,Regije!A:A)</f>
        <v>4</v>
      </c>
      <c r="F200" t="b">
        <f>_xlfn.IFNA(_xlfn.XLOOKUP(C200,'regije_občine 212'!$D$4:$D$215,'regije_občine 212'!$D$4:$D$215)=C200,FALSE)</f>
        <v>1</v>
      </c>
      <c r="H200" t="str">
        <f>_xlfn.IFNA(_xlfn.XLOOKUP(C200,'regije_občine 212'!$D$4:$D$215,'regije_občine 212'!$B$4:$B$215),"")</f>
        <v>Savinjska</v>
      </c>
      <c r="I200" s="12" t="str">
        <f t="shared" si="3"/>
        <v/>
      </c>
    </row>
    <row r="201" spans="1:9" x14ac:dyDescent="0.3">
      <c r="A201">
        <v>90</v>
      </c>
      <c r="B201">
        <v>3213</v>
      </c>
      <c r="C201" t="s">
        <v>428</v>
      </c>
      <c r="D201" t="s">
        <v>420</v>
      </c>
      <c r="E201">
        <f>_xlfn.XLOOKUP(D201,Regije!B:B,Regije!A:A)</f>
        <v>4</v>
      </c>
      <c r="F201" t="b">
        <f>_xlfn.IFNA(_xlfn.XLOOKUP(C201,'regije_občine 212'!$D$4:$D$215,'regije_občine 212'!$D$4:$D$215)=C201,FALSE)</f>
        <v>0</v>
      </c>
      <c r="H201" t="str">
        <f>_xlfn.IFNA(_xlfn.XLOOKUP(C201,'regije_občine 212'!$D$4:$D$215,'regije_občine 212'!$B$4:$B$215),"")</f>
        <v/>
      </c>
      <c r="I201" s="12" t="str">
        <f t="shared" si="3"/>
        <v/>
      </c>
    </row>
    <row r="202" spans="1:9" x14ac:dyDescent="0.3">
      <c r="A202">
        <v>471</v>
      </c>
      <c r="B202">
        <v>3214</v>
      </c>
      <c r="C202" t="s">
        <v>481</v>
      </c>
      <c r="D202" s="11" t="s">
        <v>420</v>
      </c>
      <c r="E202">
        <f>_xlfn.XLOOKUP(D202,Regije!B:B,Regije!A:A)</f>
        <v>4</v>
      </c>
      <c r="F202" t="b">
        <f>_xlfn.IFNA(_xlfn.XLOOKUP(C202,'regije_občine 212'!$D$4:$D$215,'regije_občine 212'!$D$4:$D$215)=C202,FALSE)</f>
        <v>1</v>
      </c>
      <c r="H202" t="str">
        <f>_xlfn.IFNA(_xlfn.XLOOKUP(C202,'regije_občine 212'!$D$4:$D$215,'regije_občine 212'!$B$4:$B$215),"")</f>
        <v>Savinjska</v>
      </c>
      <c r="I202" s="12" t="str">
        <f t="shared" si="3"/>
        <v/>
      </c>
    </row>
    <row r="203" spans="1:9" x14ac:dyDescent="0.3">
      <c r="A203">
        <v>200</v>
      </c>
      <c r="B203">
        <v>3215</v>
      </c>
      <c r="C203" t="s">
        <v>441</v>
      </c>
      <c r="D203" t="s">
        <v>420</v>
      </c>
      <c r="E203">
        <f>_xlfn.XLOOKUP(D203,Regije!B:B,Regije!A:A)</f>
        <v>4</v>
      </c>
      <c r="F203" t="b">
        <f>_xlfn.IFNA(_xlfn.XLOOKUP(C203,'regije_občine 212'!$D$4:$D$215,'regije_občine 212'!$D$4:$D$215)=C203,FALSE)</f>
        <v>0</v>
      </c>
      <c r="H203" t="str">
        <f>_xlfn.IFNA(_xlfn.XLOOKUP(C203,'regije_občine 212'!$D$4:$D$215,'regije_občine 212'!$B$4:$B$215),"")</f>
        <v/>
      </c>
      <c r="I203" s="12" t="str">
        <f t="shared" si="3"/>
        <v/>
      </c>
    </row>
    <row r="204" spans="1:9" x14ac:dyDescent="0.3">
      <c r="A204">
        <v>411</v>
      </c>
      <c r="B204">
        <v>3220</v>
      </c>
      <c r="C204" t="s">
        <v>473</v>
      </c>
      <c r="D204" t="s">
        <v>420</v>
      </c>
      <c r="E204">
        <f>_xlfn.XLOOKUP(D204,Regije!B:B,Regije!A:A)</f>
        <v>4</v>
      </c>
      <c r="F204" t="b">
        <f>_xlfn.IFNA(_xlfn.XLOOKUP(C204,'regije_občine 212'!$D$4:$D$215,'regije_občine 212'!$D$4:$D$215)=C204,FALSE)</f>
        <v>1</v>
      </c>
      <c r="H204" t="str">
        <f>_xlfn.IFNA(_xlfn.XLOOKUP(C204,'regije_občine 212'!$D$4:$D$215,'regije_občine 212'!$B$4:$B$215),"")</f>
        <v>Savinjska</v>
      </c>
      <c r="I204" s="12" t="str">
        <f t="shared" si="3"/>
        <v/>
      </c>
    </row>
    <row r="205" spans="1:9" x14ac:dyDescent="0.3">
      <c r="A205">
        <v>413</v>
      </c>
      <c r="B205">
        <v>3221</v>
      </c>
      <c r="C205" t="s">
        <v>475</v>
      </c>
      <c r="D205" t="s">
        <v>420</v>
      </c>
      <c r="E205">
        <f>_xlfn.XLOOKUP(D205,Regije!B:B,Regije!A:A)</f>
        <v>4</v>
      </c>
      <c r="F205" t="b">
        <f>_xlfn.IFNA(_xlfn.XLOOKUP(C205,'regije_občine 212'!$D$4:$D$215,'regije_občine 212'!$D$4:$D$215)=C205,FALSE)</f>
        <v>0</v>
      </c>
      <c r="H205" t="str">
        <f>_xlfn.IFNA(_xlfn.XLOOKUP(C205,'regije_občine 212'!$D$4:$D$215,'regije_občine 212'!$B$4:$B$215),"")</f>
        <v/>
      </c>
      <c r="I205" s="12" t="str">
        <f t="shared" si="3"/>
        <v/>
      </c>
    </row>
    <row r="206" spans="1:9" x14ac:dyDescent="0.3">
      <c r="A206">
        <v>82</v>
      </c>
      <c r="B206">
        <v>3222</v>
      </c>
      <c r="C206" t="s">
        <v>427</v>
      </c>
      <c r="D206" t="s">
        <v>420</v>
      </c>
      <c r="E206">
        <f>_xlfn.XLOOKUP(D206,Regije!B:B,Regije!A:A)</f>
        <v>4</v>
      </c>
      <c r="F206" t="b">
        <f>_xlfn.IFNA(_xlfn.XLOOKUP(C206,'regije_občine 212'!$D$4:$D$215,'regije_občine 212'!$D$4:$D$215)=C206,FALSE)</f>
        <v>0</v>
      </c>
      <c r="H206" t="str">
        <f>_xlfn.IFNA(_xlfn.XLOOKUP(C206,'regije_občine 212'!$D$4:$D$215,'regije_občine 212'!$B$4:$B$215),"")</f>
        <v/>
      </c>
      <c r="I206" s="12" t="str">
        <f t="shared" si="3"/>
        <v/>
      </c>
    </row>
    <row r="207" spans="1:9" x14ac:dyDescent="0.3">
      <c r="A207">
        <v>205</v>
      </c>
      <c r="B207">
        <v>3223</v>
      </c>
      <c r="C207" t="s">
        <v>442</v>
      </c>
      <c r="D207" t="s">
        <v>420</v>
      </c>
      <c r="E207">
        <f>_xlfn.XLOOKUP(D207,Regije!B:B,Regije!A:A)</f>
        <v>4</v>
      </c>
      <c r="F207" t="b">
        <f>_xlfn.IFNA(_xlfn.XLOOKUP(C207,'regije_občine 212'!$D$4:$D$215,'regije_občine 212'!$D$4:$D$215)=C207,FALSE)</f>
        <v>0</v>
      </c>
      <c r="H207" t="str">
        <f>_xlfn.IFNA(_xlfn.XLOOKUP(C207,'regije_občine 212'!$D$4:$D$215,'regije_občine 212'!$B$4:$B$215),"")</f>
        <v/>
      </c>
      <c r="I207" s="12" t="str">
        <f t="shared" si="3"/>
        <v/>
      </c>
    </row>
    <row r="208" spans="1:9" x14ac:dyDescent="0.3">
      <c r="A208">
        <v>63</v>
      </c>
      <c r="B208">
        <v>3224</v>
      </c>
      <c r="C208" t="s">
        <v>425</v>
      </c>
      <c r="D208" t="s">
        <v>420</v>
      </c>
      <c r="E208">
        <f>_xlfn.XLOOKUP(D208,Regije!B:B,Regije!A:A)</f>
        <v>4</v>
      </c>
      <c r="F208" t="b">
        <f>_xlfn.IFNA(_xlfn.XLOOKUP(C208,'regije_občine 212'!$D$4:$D$215,'regije_občine 212'!$D$4:$D$215)=C208,FALSE)</f>
        <v>0</v>
      </c>
      <c r="H208" t="str">
        <f>_xlfn.IFNA(_xlfn.XLOOKUP(C208,'regije_občine 212'!$D$4:$D$215,'regije_občine 212'!$B$4:$B$215),"")</f>
        <v/>
      </c>
      <c r="I208" s="12" t="str">
        <f t="shared" si="3"/>
        <v/>
      </c>
    </row>
    <row r="209" spans="1:9" x14ac:dyDescent="0.3">
      <c r="A209">
        <v>271</v>
      </c>
      <c r="B209">
        <v>3225</v>
      </c>
      <c r="C209" t="s">
        <v>448</v>
      </c>
      <c r="D209" t="s">
        <v>420</v>
      </c>
      <c r="E209">
        <f>_xlfn.XLOOKUP(D209,Regije!B:B,Regije!A:A)</f>
        <v>4</v>
      </c>
      <c r="F209" t="b">
        <f>_xlfn.IFNA(_xlfn.XLOOKUP(C209,'regije_občine 212'!$D$4:$D$215,'regije_občine 212'!$D$4:$D$215)=C209,FALSE)</f>
        <v>0</v>
      </c>
      <c r="H209" t="str">
        <f>_xlfn.IFNA(_xlfn.XLOOKUP(C209,'regije_občine 212'!$D$4:$D$215,'regije_občine 212'!$B$4:$B$215),"")</f>
        <v/>
      </c>
      <c r="I209" s="12" t="str">
        <f t="shared" si="3"/>
        <v/>
      </c>
    </row>
    <row r="210" spans="1:9" x14ac:dyDescent="0.3">
      <c r="A210">
        <v>390</v>
      </c>
      <c r="B210">
        <v>3230</v>
      </c>
      <c r="C210" t="s">
        <v>466</v>
      </c>
      <c r="D210" t="s">
        <v>420</v>
      </c>
      <c r="E210">
        <f>_xlfn.XLOOKUP(D210,Regije!B:B,Regije!A:A)</f>
        <v>4</v>
      </c>
      <c r="F210" t="b">
        <f>_xlfn.IFNA(_xlfn.XLOOKUP(C210,'regije_občine 212'!$D$4:$D$215,'regije_občine 212'!$D$4:$D$215)=C210,FALSE)</f>
        <v>0</v>
      </c>
      <c r="H210" t="str">
        <f>_xlfn.IFNA(_xlfn.XLOOKUP(C210,'regije_občine 212'!$D$4:$D$215,'regije_občine 212'!$B$4:$B$215),"")</f>
        <v/>
      </c>
      <c r="I210" s="12" t="str">
        <f t="shared" si="3"/>
        <v/>
      </c>
    </row>
    <row r="211" spans="1:9" x14ac:dyDescent="0.3">
      <c r="A211">
        <v>109</v>
      </c>
      <c r="B211">
        <v>3231</v>
      </c>
      <c r="C211" t="s">
        <v>433</v>
      </c>
      <c r="D211" t="s">
        <v>420</v>
      </c>
      <c r="E211">
        <f>_xlfn.XLOOKUP(D211,Regije!B:B,Regije!A:A)</f>
        <v>4</v>
      </c>
      <c r="F211" t="b">
        <f>_xlfn.IFNA(_xlfn.XLOOKUP(C211,'regije_občine 212'!$D$4:$D$215,'regije_občine 212'!$D$4:$D$215)=C211,FALSE)</f>
        <v>0</v>
      </c>
      <c r="H211" t="str">
        <f>_xlfn.IFNA(_xlfn.XLOOKUP(C211,'regije_občine 212'!$D$4:$D$215,'regije_občine 212'!$B$4:$B$215),"")</f>
        <v/>
      </c>
      <c r="I211" s="12" t="str">
        <f t="shared" si="3"/>
        <v/>
      </c>
    </row>
    <row r="212" spans="1:9" x14ac:dyDescent="0.3">
      <c r="A212">
        <v>294</v>
      </c>
      <c r="B212">
        <v>3232</v>
      </c>
      <c r="C212" t="s">
        <v>453</v>
      </c>
      <c r="D212" t="s">
        <v>420</v>
      </c>
      <c r="E212">
        <f>_xlfn.XLOOKUP(D212,Regije!B:B,Regije!A:A)</f>
        <v>4</v>
      </c>
      <c r="F212" t="b">
        <f>_xlfn.IFNA(_xlfn.XLOOKUP(C212,'regije_občine 212'!$D$4:$D$215,'regije_občine 212'!$D$4:$D$215)=C212,FALSE)</f>
        <v>0</v>
      </c>
      <c r="H212" t="str">
        <f>_xlfn.IFNA(_xlfn.XLOOKUP(C212,'regije_občine 212'!$D$4:$D$215,'regije_občine 212'!$B$4:$B$215),"")</f>
        <v/>
      </c>
      <c r="I212" s="12" t="str">
        <f t="shared" si="3"/>
        <v/>
      </c>
    </row>
    <row r="213" spans="1:9" x14ac:dyDescent="0.3">
      <c r="A213">
        <v>137</v>
      </c>
      <c r="B213">
        <v>3233</v>
      </c>
      <c r="C213" t="s">
        <v>435</v>
      </c>
      <c r="D213" t="s">
        <v>420</v>
      </c>
      <c r="E213">
        <f>_xlfn.XLOOKUP(D213,Regije!B:B,Regije!A:A)</f>
        <v>4</v>
      </c>
      <c r="F213" t="b">
        <f>_xlfn.IFNA(_xlfn.XLOOKUP(C213,'regije_občine 212'!$D$4:$D$215,'regije_občine 212'!$D$4:$D$215)=C213,FALSE)</f>
        <v>0</v>
      </c>
      <c r="H213" t="str">
        <f>_xlfn.IFNA(_xlfn.XLOOKUP(C213,'regije_občine 212'!$D$4:$D$215,'regije_občine 212'!$B$4:$B$215),"")</f>
        <v/>
      </c>
      <c r="I213" s="12" t="str">
        <f t="shared" si="3"/>
        <v/>
      </c>
    </row>
    <row r="214" spans="1:9" x14ac:dyDescent="0.3">
      <c r="A214">
        <v>401</v>
      </c>
      <c r="B214">
        <v>3240</v>
      </c>
      <c r="C214" t="s">
        <v>468</v>
      </c>
      <c r="D214" t="s">
        <v>420</v>
      </c>
      <c r="E214">
        <f>_xlfn.XLOOKUP(D214,Regije!B:B,Regije!A:A)</f>
        <v>4</v>
      </c>
      <c r="F214" t="b">
        <f>_xlfn.IFNA(_xlfn.XLOOKUP(C214,'regije_občine 212'!$D$4:$D$215,'regije_občine 212'!$D$4:$D$215)=C214,FALSE)</f>
        <v>1</v>
      </c>
      <c r="H214" t="str">
        <f>_xlfn.IFNA(_xlfn.XLOOKUP(C214,'regije_občine 212'!$D$4:$D$215,'regije_občine 212'!$B$4:$B$215),"")</f>
        <v>Savinjska</v>
      </c>
      <c r="I214" s="12" t="str">
        <f t="shared" si="3"/>
        <v/>
      </c>
    </row>
    <row r="215" spans="1:9" x14ac:dyDescent="0.3">
      <c r="A215">
        <v>284</v>
      </c>
      <c r="B215">
        <v>3241</v>
      </c>
      <c r="C215" t="s">
        <v>450</v>
      </c>
      <c r="D215" t="s">
        <v>420</v>
      </c>
      <c r="E215">
        <f>_xlfn.XLOOKUP(D215,Regije!B:B,Regije!A:A)</f>
        <v>4</v>
      </c>
      <c r="F215" t="b">
        <f>_xlfn.IFNA(_xlfn.XLOOKUP(C215,'regije_občine 212'!$D$4:$D$215,'regije_občine 212'!$D$4:$D$215)=C215,FALSE)</f>
        <v>0</v>
      </c>
      <c r="H215" t="str">
        <f>_xlfn.IFNA(_xlfn.XLOOKUP(C215,'regije_občine 212'!$D$4:$D$215,'regije_občine 212'!$B$4:$B$215),"")</f>
        <v/>
      </c>
      <c r="I215" s="12" t="str">
        <f t="shared" si="3"/>
        <v/>
      </c>
    </row>
    <row r="216" spans="1:9" x14ac:dyDescent="0.3">
      <c r="A216">
        <v>330</v>
      </c>
      <c r="B216">
        <v>3250</v>
      </c>
      <c r="C216" t="s">
        <v>459</v>
      </c>
      <c r="D216" t="s">
        <v>420</v>
      </c>
      <c r="E216">
        <f>_xlfn.XLOOKUP(D216,Regije!B:B,Regije!A:A)</f>
        <v>4</v>
      </c>
      <c r="F216" t="b">
        <f>_xlfn.IFNA(_xlfn.XLOOKUP(C216,'regije_občine 212'!$D$4:$D$215,'regije_občine 212'!$D$4:$D$215)=C216,FALSE)</f>
        <v>1</v>
      </c>
      <c r="H216" t="str">
        <f>_xlfn.IFNA(_xlfn.XLOOKUP(C216,'regije_občine 212'!$D$4:$D$215,'regije_občine 212'!$B$4:$B$215),"")</f>
        <v>Savinjska</v>
      </c>
      <c r="I216" s="12" t="str">
        <f t="shared" si="3"/>
        <v/>
      </c>
    </row>
    <row r="217" spans="1:9" x14ac:dyDescent="0.3">
      <c r="A217">
        <v>332</v>
      </c>
      <c r="B217">
        <v>3252</v>
      </c>
      <c r="C217" t="s">
        <v>460</v>
      </c>
      <c r="D217" t="s">
        <v>420</v>
      </c>
      <c r="E217">
        <f>_xlfn.XLOOKUP(D217,Regije!B:B,Regije!A:A)</f>
        <v>4</v>
      </c>
      <c r="F217" t="b">
        <f>_xlfn.IFNA(_xlfn.XLOOKUP(C217,'regije_občine 212'!$D$4:$D$215,'regije_občine 212'!$D$4:$D$215)=C217,FALSE)</f>
        <v>1</v>
      </c>
      <c r="H217" t="str">
        <f>_xlfn.IFNA(_xlfn.XLOOKUP(C217,'regije_občine 212'!$D$4:$D$215,'regije_občine 212'!$B$4:$B$215),"")</f>
        <v>Savinjska</v>
      </c>
      <c r="I217" s="12" t="str">
        <f t="shared" si="3"/>
        <v/>
      </c>
    </row>
    <row r="218" spans="1:9" x14ac:dyDescent="0.3">
      <c r="A218">
        <v>306</v>
      </c>
      <c r="B218">
        <v>3253</v>
      </c>
      <c r="C218" t="s">
        <v>456</v>
      </c>
      <c r="D218" t="s">
        <v>420</v>
      </c>
      <c r="E218">
        <f>_xlfn.XLOOKUP(D218,Regije!B:B,Regije!A:A)</f>
        <v>4</v>
      </c>
      <c r="F218" t="b">
        <f>_xlfn.IFNA(_xlfn.XLOOKUP(C218,'regije_občine 212'!$D$4:$D$215,'regije_občine 212'!$D$4:$D$215)=C218,FALSE)</f>
        <v>0</v>
      </c>
      <c r="H218" t="str">
        <f>_xlfn.IFNA(_xlfn.XLOOKUP(C218,'regije_občine 212'!$D$4:$D$215,'regije_občine 212'!$B$4:$B$215),"")</f>
        <v/>
      </c>
      <c r="I218" s="12" t="str">
        <f t="shared" si="3"/>
        <v/>
      </c>
    </row>
    <row r="219" spans="1:9" x14ac:dyDescent="0.3">
      <c r="A219">
        <v>275</v>
      </c>
      <c r="B219">
        <v>3254</v>
      </c>
      <c r="C219" t="s">
        <v>449</v>
      </c>
      <c r="D219" t="s">
        <v>420</v>
      </c>
      <c r="E219">
        <f>_xlfn.XLOOKUP(D219,Regije!B:B,Regije!A:A)</f>
        <v>4</v>
      </c>
      <c r="F219" t="b">
        <f>_xlfn.IFNA(_xlfn.XLOOKUP(C219,'regije_občine 212'!$D$4:$D$215,'regije_občine 212'!$D$4:$D$215)=C219,FALSE)</f>
        <v>1</v>
      </c>
      <c r="H219" t="str">
        <f>_xlfn.IFNA(_xlfn.XLOOKUP(C219,'regije_občine 212'!$D$4:$D$215,'regije_občine 212'!$B$4:$B$215),"")</f>
        <v>Savinjska</v>
      </c>
      <c r="I219" s="12" t="str">
        <f t="shared" si="3"/>
        <v/>
      </c>
    </row>
    <row r="220" spans="1:9" x14ac:dyDescent="0.3">
      <c r="A220">
        <v>35</v>
      </c>
      <c r="B220">
        <v>3255</v>
      </c>
      <c r="C220" t="s">
        <v>422</v>
      </c>
      <c r="D220" t="s">
        <v>420</v>
      </c>
      <c r="E220">
        <f>_xlfn.XLOOKUP(D220,Regije!B:B,Regije!A:A)</f>
        <v>4</v>
      </c>
      <c r="F220" t="b">
        <f>_xlfn.IFNA(_xlfn.XLOOKUP(C220,'regije_občine 212'!$D$4:$D$215,'regije_občine 212'!$D$4:$D$215)=C220,FALSE)</f>
        <v>0</v>
      </c>
      <c r="H220" t="str">
        <f>_xlfn.IFNA(_xlfn.XLOOKUP(C220,'regije_občine 212'!$D$4:$D$215,'regije_občine 212'!$B$4:$B$215),"")</f>
        <v/>
      </c>
      <c r="I220" s="12" t="str">
        <f t="shared" si="3"/>
        <v/>
      </c>
    </row>
    <row r="221" spans="1:9" x14ac:dyDescent="0.3">
      <c r="A221">
        <v>11</v>
      </c>
      <c r="B221">
        <v>3256</v>
      </c>
      <c r="C221" t="s">
        <v>419</v>
      </c>
      <c r="D221" t="s">
        <v>420</v>
      </c>
      <c r="E221">
        <f>_xlfn.XLOOKUP(D221,Regije!B:B,Regije!A:A)</f>
        <v>4</v>
      </c>
      <c r="F221" t="b">
        <f>_xlfn.IFNA(_xlfn.XLOOKUP(C221,'regije_občine 212'!$D$4:$D$215,'regije_občine 212'!$D$4:$D$215)=C221,FALSE)</f>
        <v>1</v>
      </c>
      <c r="H221" t="str">
        <f>_xlfn.IFNA(_xlfn.XLOOKUP(C221,'regije_občine 212'!$D$4:$D$215,'regije_občine 212'!$B$4:$B$215),"")</f>
        <v>Posavska</v>
      </c>
      <c r="I221" s="12" t="str">
        <f t="shared" si="3"/>
        <v>drugačna regija!</v>
      </c>
    </row>
    <row r="222" spans="1:9" x14ac:dyDescent="0.3">
      <c r="A222">
        <v>285</v>
      </c>
      <c r="B222">
        <v>3257</v>
      </c>
      <c r="C222" t="s">
        <v>451</v>
      </c>
      <c r="D222" t="s">
        <v>420</v>
      </c>
      <c r="E222">
        <f>_xlfn.XLOOKUP(D222,Regije!B:B,Regije!A:A)</f>
        <v>4</v>
      </c>
      <c r="F222" t="b">
        <f>_xlfn.IFNA(_xlfn.XLOOKUP(C222,'regije_občine 212'!$D$4:$D$215,'regije_občine 212'!$D$4:$D$215)=C222,FALSE)</f>
        <v>0</v>
      </c>
      <c r="H222" t="str">
        <f>_xlfn.IFNA(_xlfn.XLOOKUP(C222,'regije_občine 212'!$D$4:$D$215,'regije_občine 212'!$B$4:$B$215),"")</f>
        <v/>
      </c>
      <c r="I222" s="12" t="str">
        <f t="shared" si="3"/>
        <v/>
      </c>
    </row>
    <row r="223" spans="1:9" x14ac:dyDescent="0.3">
      <c r="A223">
        <v>164</v>
      </c>
      <c r="B223">
        <v>3260</v>
      </c>
      <c r="C223" t="s">
        <v>436</v>
      </c>
      <c r="D223" t="s">
        <v>420</v>
      </c>
      <c r="E223">
        <f>_xlfn.XLOOKUP(D223,Regije!B:B,Regije!A:A)</f>
        <v>4</v>
      </c>
      <c r="F223" t="b">
        <f>_xlfn.IFNA(_xlfn.XLOOKUP(C223,'regije_občine 212'!$D$4:$D$215,'regije_občine 212'!$D$4:$D$215)=C223,FALSE)</f>
        <v>1</v>
      </c>
      <c r="H223" t="str">
        <f>_xlfn.IFNA(_xlfn.XLOOKUP(C223,'regije_občine 212'!$D$4:$D$215,'regije_občine 212'!$B$4:$B$215),"")</f>
        <v>Savinjska</v>
      </c>
      <c r="I223" s="12" t="str">
        <f t="shared" si="3"/>
        <v/>
      </c>
    </row>
    <row r="224" spans="1:9" x14ac:dyDescent="0.3">
      <c r="A224">
        <v>184</v>
      </c>
      <c r="B224">
        <v>3261</v>
      </c>
      <c r="C224" t="s">
        <v>438</v>
      </c>
      <c r="D224" t="s">
        <v>420</v>
      </c>
      <c r="E224">
        <f>_xlfn.XLOOKUP(D224,Regije!B:B,Regije!A:A)</f>
        <v>4</v>
      </c>
      <c r="F224" t="b">
        <f>_xlfn.IFNA(_xlfn.XLOOKUP(C224,'regije_občine 212'!$D$4:$D$215,'regije_občine 212'!$D$4:$D$215)=C224,FALSE)</f>
        <v>0</v>
      </c>
      <c r="H224" t="str">
        <f>_xlfn.IFNA(_xlfn.XLOOKUP(C224,'regije_občine 212'!$D$4:$D$215,'regije_občine 212'!$B$4:$B$215),"")</f>
        <v/>
      </c>
      <c r="I224" s="12" t="str">
        <f t="shared" si="3"/>
        <v/>
      </c>
    </row>
    <row r="225" spans="1:9" x14ac:dyDescent="0.3">
      <c r="A225">
        <v>304</v>
      </c>
      <c r="B225">
        <v>3262</v>
      </c>
      <c r="C225" t="s">
        <v>455</v>
      </c>
      <c r="D225" t="s">
        <v>420</v>
      </c>
      <c r="E225">
        <f>_xlfn.XLOOKUP(D225,Regije!B:B,Regije!A:A)</f>
        <v>4</v>
      </c>
      <c r="F225" t="b">
        <f>_xlfn.IFNA(_xlfn.XLOOKUP(C225,'regije_občine 212'!$D$4:$D$215,'regije_občine 212'!$D$4:$D$215)=C225,FALSE)</f>
        <v>0</v>
      </c>
      <c r="H225" t="str">
        <f>_xlfn.IFNA(_xlfn.XLOOKUP(C225,'regije_občine 212'!$D$4:$D$215,'regije_občine 212'!$B$4:$B$215),"")</f>
        <v/>
      </c>
      <c r="I225" s="12" t="str">
        <f t="shared" si="3"/>
        <v/>
      </c>
    </row>
    <row r="226" spans="1:9" x14ac:dyDescent="0.3">
      <c r="A226">
        <v>97</v>
      </c>
      <c r="B226">
        <v>3263</v>
      </c>
      <c r="C226" t="s">
        <v>430</v>
      </c>
      <c r="D226" t="s">
        <v>420</v>
      </c>
      <c r="E226">
        <f>_xlfn.XLOOKUP(D226,Regije!B:B,Regije!A:A)</f>
        <v>4</v>
      </c>
      <c r="F226" t="b">
        <f>_xlfn.IFNA(_xlfn.XLOOKUP(C226,'regije_občine 212'!$D$4:$D$215,'regije_občine 212'!$D$4:$D$215)=C226,FALSE)</f>
        <v>0</v>
      </c>
      <c r="H226" t="str">
        <f>_xlfn.IFNA(_xlfn.XLOOKUP(C226,'regije_občine 212'!$D$4:$D$215,'regije_občine 212'!$B$4:$B$215),"")</f>
        <v/>
      </c>
      <c r="I226" s="12" t="str">
        <f t="shared" si="3"/>
        <v/>
      </c>
    </row>
    <row r="227" spans="1:9" x14ac:dyDescent="0.3">
      <c r="A227">
        <v>379</v>
      </c>
      <c r="B227">
        <v>3264</v>
      </c>
      <c r="C227" t="s">
        <v>464</v>
      </c>
      <c r="D227" t="s">
        <v>420</v>
      </c>
      <c r="E227">
        <f>_xlfn.XLOOKUP(D227,Regije!B:B,Regije!A:A)</f>
        <v>4</v>
      </c>
      <c r="F227" t="b">
        <f>_xlfn.IFNA(_xlfn.XLOOKUP(C227,'regije_občine 212'!$D$4:$D$215,'regije_občine 212'!$D$4:$D$215)=C227,FALSE)</f>
        <v>0</v>
      </c>
      <c r="H227" t="str">
        <f>_xlfn.IFNA(_xlfn.XLOOKUP(C227,'regije_občine 212'!$D$4:$D$215,'regije_občine 212'!$B$4:$B$215),"")</f>
        <v/>
      </c>
      <c r="I227" s="12" t="str">
        <f t="shared" si="3"/>
        <v/>
      </c>
    </row>
    <row r="228" spans="1:9" x14ac:dyDescent="0.3">
      <c r="A228">
        <v>179</v>
      </c>
      <c r="B228">
        <v>3270</v>
      </c>
      <c r="C228" t="s">
        <v>437</v>
      </c>
      <c r="D228" t="s">
        <v>420</v>
      </c>
      <c r="E228">
        <f>_xlfn.XLOOKUP(D228,Regije!B:B,Regije!A:A)</f>
        <v>4</v>
      </c>
      <c r="F228" t="b">
        <f>_xlfn.IFNA(_xlfn.XLOOKUP(C228,'regije_občine 212'!$D$4:$D$215,'regije_občine 212'!$D$4:$D$215)=C228,FALSE)</f>
        <v>1</v>
      </c>
      <c r="H228" t="str">
        <f>_xlfn.IFNA(_xlfn.XLOOKUP(C228,'regije_občine 212'!$D$4:$D$215,'regije_občine 212'!$B$4:$B$215),"")</f>
        <v>Savinjska</v>
      </c>
      <c r="I228" s="12" t="str">
        <f t="shared" si="3"/>
        <v/>
      </c>
    </row>
    <row r="229" spans="1:9" x14ac:dyDescent="0.3">
      <c r="A229">
        <v>391</v>
      </c>
      <c r="B229">
        <v>3271</v>
      </c>
      <c r="C229" t="s">
        <v>132</v>
      </c>
      <c r="D229" t="s">
        <v>96</v>
      </c>
      <c r="E229">
        <f>_xlfn.XLOOKUP(D229,Regije!B:B,Regije!A:A)</f>
        <v>7</v>
      </c>
      <c r="F229" t="b">
        <f>_xlfn.IFNA(_xlfn.XLOOKUP(C229,'regije_občine 212'!$D$4:$D$215,'regije_občine 212'!$D$4:$D$215)=C229,FALSE)</f>
        <v>1</v>
      </c>
      <c r="H229" t="str">
        <f>_xlfn.IFNA(_xlfn.XLOOKUP(C229,'regije_občine 212'!$D$4:$D$215,'regije_občine 212'!$B$4:$B$215),"")</f>
        <v>Jugovzhodna Slovenija</v>
      </c>
      <c r="I229" s="12" t="str">
        <f t="shared" si="3"/>
        <v/>
      </c>
    </row>
    <row r="230" spans="1:9" x14ac:dyDescent="0.3">
      <c r="A230">
        <v>327</v>
      </c>
      <c r="B230">
        <v>3272</v>
      </c>
      <c r="C230" t="s">
        <v>458</v>
      </c>
      <c r="D230" t="s">
        <v>420</v>
      </c>
      <c r="E230">
        <f>_xlfn.XLOOKUP(D230,Regije!B:B,Regije!A:A)</f>
        <v>4</v>
      </c>
      <c r="F230" t="b">
        <f>_xlfn.IFNA(_xlfn.XLOOKUP(C230,'regije_občine 212'!$D$4:$D$215,'regije_občine 212'!$D$4:$D$215)=C230,FALSE)</f>
        <v>0</v>
      </c>
      <c r="H230" t="str">
        <f>_xlfn.IFNA(_xlfn.XLOOKUP(C230,'regije_občine 212'!$D$4:$D$215,'regije_občine 212'!$B$4:$B$215),"")</f>
        <v/>
      </c>
      <c r="I230" s="12" t="str">
        <f t="shared" si="3"/>
        <v/>
      </c>
    </row>
    <row r="231" spans="1:9" x14ac:dyDescent="0.3">
      <c r="A231">
        <v>133</v>
      </c>
      <c r="B231">
        <v>3273</v>
      </c>
      <c r="C231" t="s">
        <v>434</v>
      </c>
      <c r="D231" t="s">
        <v>420</v>
      </c>
      <c r="E231">
        <f>_xlfn.XLOOKUP(D231,Regije!B:B,Regije!A:A)</f>
        <v>4</v>
      </c>
      <c r="F231" t="b">
        <f>_xlfn.IFNA(_xlfn.XLOOKUP(C231,'regije_občine 212'!$D$4:$D$215,'regije_občine 212'!$D$4:$D$215)=C231,FALSE)</f>
        <v>0</v>
      </c>
      <c r="H231" t="str">
        <f>_xlfn.IFNA(_xlfn.XLOOKUP(C231,'regije_občine 212'!$D$4:$D$215,'regije_občine 212'!$B$4:$B$215),"")</f>
        <v/>
      </c>
      <c r="I231" s="12" t="str">
        <f t="shared" si="3"/>
        <v/>
      </c>
    </row>
    <row r="232" spans="1:9" x14ac:dyDescent="0.3">
      <c r="A232">
        <v>266</v>
      </c>
      <c r="B232">
        <v>3301</v>
      </c>
      <c r="C232" t="s">
        <v>447</v>
      </c>
      <c r="D232" t="s">
        <v>420</v>
      </c>
      <c r="E232">
        <f>_xlfn.XLOOKUP(D232,Regije!B:B,Regije!A:A)</f>
        <v>4</v>
      </c>
      <c r="F232" t="b">
        <f>_xlfn.IFNA(_xlfn.XLOOKUP(C232,'regije_občine 212'!$D$4:$D$215,'regije_občine 212'!$D$4:$D$215)=C232,FALSE)</f>
        <v>0</v>
      </c>
      <c r="H232" t="str">
        <f>_xlfn.IFNA(_xlfn.XLOOKUP(C232,'regije_občine 212'!$D$4:$D$215,'regije_občine 212'!$B$4:$B$215),"")</f>
        <v/>
      </c>
      <c r="I232" s="12" t="str">
        <f t="shared" si="3"/>
        <v/>
      </c>
    </row>
    <row r="233" spans="1:9" x14ac:dyDescent="0.3">
      <c r="A233">
        <v>108</v>
      </c>
      <c r="B233">
        <v>3302</v>
      </c>
      <c r="C233" t="s">
        <v>432</v>
      </c>
      <c r="D233" t="s">
        <v>420</v>
      </c>
      <c r="E233">
        <f>_xlfn.XLOOKUP(D233,Regije!B:B,Regije!A:A)</f>
        <v>4</v>
      </c>
      <c r="F233" t="b">
        <f>_xlfn.IFNA(_xlfn.XLOOKUP(C233,'regije_občine 212'!$D$4:$D$215,'regije_občine 212'!$D$4:$D$215)=C233,FALSE)</f>
        <v>0</v>
      </c>
      <c r="H233" t="str">
        <f>_xlfn.IFNA(_xlfn.XLOOKUP(C233,'regije_občine 212'!$D$4:$D$215,'regije_občine 212'!$B$4:$B$215),"")</f>
        <v/>
      </c>
      <c r="I233" s="12" t="str">
        <f t="shared" si="3"/>
        <v/>
      </c>
    </row>
    <row r="234" spans="1:9" x14ac:dyDescent="0.3">
      <c r="A234">
        <v>95</v>
      </c>
      <c r="B234">
        <v>3303</v>
      </c>
      <c r="C234" t="s">
        <v>429</v>
      </c>
      <c r="D234" t="s">
        <v>420</v>
      </c>
      <c r="E234">
        <f>_xlfn.XLOOKUP(D234,Regije!B:B,Regije!A:A)</f>
        <v>4</v>
      </c>
      <c r="F234" t="b">
        <f>_xlfn.IFNA(_xlfn.XLOOKUP(C234,'regije_občine 212'!$D$4:$D$215,'regije_občine 212'!$D$4:$D$215)=C234,FALSE)</f>
        <v>0</v>
      </c>
      <c r="H234" t="str">
        <f>_xlfn.IFNA(_xlfn.XLOOKUP(C234,'regije_občine 212'!$D$4:$D$215,'regije_občine 212'!$B$4:$B$215),"")</f>
        <v/>
      </c>
      <c r="I234" s="12" t="str">
        <f t="shared" si="3"/>
        <v/>
      </c>
    </row>
    <row r="235" spans="1:9" x14ac:dyDescent="0.3">
      <c r="A235">
        <v>412</v>
      </c>
      <c r="B235">
        <v>3304</v>
      </c>
      <c r="C235" t="s">
        <v>474</v>
      </c>
      <c r="D235" t="s">
        <v>420</v>
      </c>
      <c r="E235">
        <f>_xlfn.XLOOKUP(D235,Regije!B:B,Regije!A:A)</f>
        <v>4</v>
      </c>
      <c r="F235" t="b">
        <f>_xlfn.IFNA(_xlfn.XLOOKUP(C235,'regije_občine 212'!$D$4:$D$215,'regije_občine 212'!$D$4:$D$215)=C235,FALSE)</f>
        <v>1</v>
      </c>
      <c r="H235" t="str">
        <f>_xlfn.IFNA(_xlfn.XLOOKUP(C235,'regije_občine 212'!$D$4:$D$215,'regije_občine 212'!$B$4:$B$215),"")</f>
        <v>Savinjska</v>
      </c>
      <c r="I235" s="12" t="str">
        <f t="shared" si="3"/>
        <v/>
      </c>
    </row>
    <row r="236" spans="1:9" x14ac:dyDescent="0.3">
      <c r="A236">
        <v>451</v>
      </c>
      <c r="B236">
        <v>3305</v>
      </c>
      <c r="C236" t="s">
        <v>480</v>
      </c>
      <c r="D236" t="s">
        <v>420</v>
      </c>
      <c r="E236">
        <f>_xlfn.XLOOKUP(D236,Regije!B:B,Regije!A:A)</f>
        <v>4</v>
      </c>
      <c r="F236" t="b">
        <f>_xlfn.IFNA(_xlfn.XLOOKUP(C236,'regije_občine 212'!$D$4:$D$215,'regije_občine 212'!$D$4:$D$215)=C236,FALSE)</f>
        <v>1</v>
      </c>
      <c r="H236" t="str">
        <f>_xlfn.IFNA(_xlfn.XLOOKUP(C236,'regije_občine 212'!$D$4:$D$215,'regije_občine 212'!$B$4:$B$215),"")</f>
        <v>Savinjska</v>
      </c>
      <c r="I236" s="12" t="str">
        <f t="shared" si="3"/>
        <v/>
      </c>
    </row>
    <row r="237" spans="1:9" x14ac:dyDescent="0.3">
      <c r="A237">
        <v>473</v>
      </c>
      <c r="B237">
        <v>3310</v>
      </c>
      <c r="C237" t="s">
        <v>482</v>
      </c>
      <c r="D237" t="s">
        <v>420</v>
      </c>
      <c r="E237">
        <f>_xlfn.XLOOKUP(D237,Regije!B:B,Regije!A:A)</f>
        <v>4</v>
      </c>
      <c r="F237" t="b">
        <f>_xlfn.IFNA(_xlfn.XLOOKUP(C237,'regije_občine 212'!$D$4:$D$215,'regije_občine 212'!$D$4:$D$215)=C237,FALSE)</f>
        <v>1</v>
      </c>
      <c r="H237" t="str">
        <f>_xlfn.IFNA(_xlfn.XLOOKUP(C237,'regije_občine 212'!$D$4:$D$215,'regije_občine 212'!$B$4:$B$215),"")</f>
        <v>Savinjska</v>
      </c>
      <c r="I237" s="12" t="str">
        <f t="shared" si="3"/>
        <v/>
      </c>
    </row>
    <row r="238" spans="1:9" x14ac:dyDescent="0.3">
      <c r="A238">
        <v>384</v>
      </c>
      <c r="B238">
        <v>3311</v>
      </c>
      <c r="C238" t="s">
        <v>465</v>
      </c>
      <c r="D238" t="s">
        <v>420</v>
      </c>
      <c r="E238">
        <f>_xlfn.XLOOKUP(D238,Regije!B:B,Regije!A:A)</f>
        <v>4</v>
      </c>
      <c r="F238" t="b">
        <f>_xlfn.IFNA(_xlfn.XLOOKUP(C238,'regije_občine 212'!$D$4:$D$215,'regije_občine 212'!$D$4:$D$215)=C238,FALSE)</f>
        <v>0</v>
      </c>
      <c r="H238" t="str">
        <f>_xlfn.IFNA(_xlfn.XLOOKUP(C238,'regije_občine 212'!$D$4:$D$215,'regije_občine 212'!$B$4:$B$215),"")</f>
        <v/>
      </c>
      <c r="I238" s="12" t="str">
        <f t="shared" si="3"/>
        <v/>
      </c>
    </row>
    <row r="239" spans="1:9" x14ac:dyDescent="0.3">
      <c r="A239">
        <v>298</v>
      </c>
      <c r="B239">
        <v>3312</v>
      </c>
      <c r="C239" t="s">
        <v>454</v>
      </c>
      <c r="D239" t="s">
        <v>420</v>
      </c>
      <c r="E239">
        <f>_xlfn.XLOOKUP(D239,Regije!B:B,Regije!A:A)</f>
        <v>4</v>
      </c>
      <c r="F239" t="b">
        <f>_xlfn.IFNA(_xlfn.XLOOKUP(C239,'regije_občine 212'!$D$4:$D$215,'regije_občine 212'!$D$4:$D$215)=C239,FALSE)</f>
        <v>1</v>
      </c>
      <c r="H239" t="str">
        <f>_xlfn.IFNA(_xlfn.XLOOKUP(C239,'regije_občine 212'!$D$4:$D$215,'regije_občine 212'!$B$4:$B$215),"")</f>
        <v>Savinjska</v>
      </c>
      <c r="I239" s="12" t="str">
        <f t="shared" si="3"/>
        <v/>
      </c>
    </row>
    <row r="240" spans="1:9" x14ac:dyDescent="0.3">
      <c r="A240">
        <v>293</v>
      </c>
      <c r="B240">
        <v>3313</v>
      </c>
      <c r="C240" t="s">
        <v>452</v>
      </c>
      <c r="D240" t="s">
        <v>420</v>
      </c>
      <c r="E240">
        <f>_xlfn.XLOOKUP(D240,Regije!B:B,Regije!A:A)</f>
        <v>4</v>
      </c>
      <c r="F240" t="b">
        <f>_xlfn.IFNA(_xlfn.XLOOKUP(C240,'regije_občine 212'!$D$4:$D$215,'regije_občine 212'!$D$4:$D$215)=C240,FALSE)</f>
        <v>1</v>
      </c>
      <c r="H240" t="str">
        <f>_xlfn.IFNA(_xlfn.XLOOKUP(C240,'regije_občine 212'!$D$4:$D$215,'regije_občine 212'!$B$4:$B$215),"")</f>
        <v>Savinjska</v>
      </c>
      <c r="I240" s="12" t="str">
        <f t="shared" si="3"/>
        <v/>
      </c>
    </row>
    <row r="241" spans="1:9" x14ac:dyDescent="0.3">
      <c r="A241">
        <v>26</v>
      </c>
      <c r="B241">
        <v>3314</v>
      </c>
      <c r="C241" t="s">
        <v>421</v>
      </c>
      <c r="D241" t="s">
        <v>420</v>
      </c>
      <c r="E241">
        <f>_xlfn.XLOOKUP(D241,Regije!B:B,Regije!A:A)</f>
        <v>4</v>
      </c>
      <c r="F241" t="b">
        <f>_xlfn.IFNA(_xlfn.XLOOKUP(C241,'regije_občine 212'!$D$4:$D$215,'regije_občine 212'!$D$4:$D$215)=C241,FALSE)</f>
        <v>1</v>
      </c>
      <c r="H241" t="str">
        <f>_xlfn.IFNA(_xlfn.XLOOKUP(C241,'regije_občine 212'!$D$4:$D$215,'regije_občine 212'!$B$4:$B$215),"")</f>
        <v>Savinjska</v>
      </c>
      <c r="I241" s="12" t="str">
        <f t="shared" si="3"/>
        <v/>
      </c>
    </row>
    <row r="242" spans="1:9" x14ac:dyDescent="0.3">
      <c r="A242">
        <v>431</v>
      </c>
      <c r="B242">
        <v>3320</v>
      </c>
      <c r="C242" t="s">
        <v>477</v>
      </c>
      <c r="D242" t="s">
        <v>420</v>
      </c>
      <c r="E242">
        <f>_xlfn.XLOOKUP(D242,Regije!B:B,Regije!A:A)</f>
        <v>4</v>
      </c>
      <c r="F242" t="b">
        <f>_xlfn.IFNA(_xlfn.XLOOKUP(C242,'regije_občine 212'!$D$4:$D$215,'regije_občine 212'!$D$4:$D$215)=C242,FALSE)</f>
        <v>1</v>
      </c>
      <c r="H242" t="str">
        <f>_xlfn.IFNA(_xlfn.XLOOKUP(C242,'regije_občine 212'!$D$4:$D$215,'regije_občine 212'!$B$4:$B$215),"")</f>
        <v>Savinjska</v>
      </c>
      <c r="I242" s="12" t="str">
        <f t="shared" si="3"/>
        <v/>
      </c>
    </row>
    <row r="243" spans="1:9" x14ac:dyDescent="0.3">
      <c r="A243">
        <v>432</v>
      </c>
      <c r="B243">
        <v>3322</v>
      </c>
      <c r="C243" t="s">
        <v>477</v>
      </c>
      <c r="D243" t="s">
        <v>420</v>
      </c>
      <c r="E243">
        <f>_xlfn.XLOOKUP(D243,Regije!B:B,Regije!A:A)</f>
        <v>4</v>
      </c>
      <c r="F243" t="b">
        <f>_xlfn.IFNA(_xlfn.XLOOKUP(C243,'regije_občine 212'!$D$4:$D$215,'regije_občine 212'!$D$4:$D$215)=C243,FALSE)</f>
        <v>1</v>
      </c>
      <c r="H243" t="str">
        <f>_xlfn.IFNA(_xlfn.XLOOKUP(C243,'regije_občine 212'!$D$4:$D$215,'regije_občine 212'!$B$4:$B$215),"")</f>
        <v>Savinjska</v>
      </c>
      <c r="I243" s="12" t="str">
        <f t="shared" si="3"/>
        <v/>
      </c>
    </row>
    <row r="244" spans="1:9" x14ac:dyDescent="0.3">
      <c r="A244">
        <v>409</v>
      </c>
      <c r="B244">
        <v>3325</v>
      </c>
      <c r="C244" t="s">
        <v>472</v>
      </c>
      <c r="D244" t="s">
        <v>420</v>
      </c>
      <c r="E244">
        <f>_xlfn.XLOOKUP(D244,Regije!B:B,Regije!A:A)</f>
        <v>4</v>
      </c>
      <c r="F244" t="b">
        <f>_xlfn.IFNA(_xlfn.XLOOKUP(C244,'regije_občine 212'!$D$4:$D$215,'regije_občine 212'!$D$4:$D$215)=C244,FALSE)</f>
        <v>1</v>
      </c>
      <c r="H244" t="str">
        <f>_xlfn.IFNA(_xlfn.XLOOKUP(C244,'regije_občine 212'!$D$4:$D$215,'regije_občine 212'!$B$4:$B$215),"")</f>
        <v>Savinjska</v>
      </c>
      <c r="I244" s="12" t="str">
        <f t="shared" si="3"/>
        <v/>
      </c>
    </row>
    <row r="245" spans="1:9" x14ac:dyDescent="0.3">
      <c r="A245">
        <v>416</v>
      </c>
      <c r="B245">
        <v>3326</v>
      </c>
      <c r="C245" t="s">
        <v>476</v>
      </c>
      <c r="D245" t="s">
        <v>420</v>
      </c>
      <c r="E245">
        <f>_xlfn.XLOOKUP(D245,Regije!B:B,Regije!A:A)</f>
        <v>4</v>
      </c>
      <c r="F245" t="b">
        <f>_xlfn.IFNA(_xlfn.XLOOKUP(C245,'regije_občine 212'!$D$4:$D$215,'regije_občine 212'!$D$4:$D$215)=C245,FALSE)</f>
        <v>0</v>
      </c>
      <c r="H245" t="str">
        <f>_xlfn.IFNA(_xlfn.XLOOKUP(C245,'regije_občine 212'!$D$4:$D$215,'regije_občine 212'!$B$4:$B$215),"")</f>
        <v/>
      </c>
      <c r="I245" s="12" t="str">
        <f t="shared" si="3"/>
        <v/>
      </c>
    </row>
    <row r="246" spans="1:9" x14ac:dyDescent="0.3">
      <c r="A246">
        <v>405</v>
      </c>
      <c r="B246">
        <v>3327</v>
      </c>
      <c r="C246" t="s">
        <v>470</v>
      </c>
      <c r="D246" t="s">
        <v>420</v>
      </c>
      <c r="E246">
        <f>_xlfn.XLOOKUP(D246,Regije!B:B,Regije!A:A)</f>
        <v>4</v>
      </c>
      <c r="F246" t="b">
        <f>_xlfn.IFNA(_xlfn.XLOOKUP(C246,'regije_občine 212'!$D$4:$D$215,'regije_občine 212'!$D$4:$D$215)=C246,FALSE)</f>
        <v>1</v>
      </c>
      <c r="H246" t="str">
        <f>_xlfn.IFNA(_xlfn.XLOOKUP(C246,'regije_občine 212'!$D$4:$D$215,'regije_občine 212'!$B$4:$B$215),"")</f>
        <v>Savinjska</v>
      </c>
      <c r="I246" s="12" t="str">
        <f t="shared" si="3"/>
        <v/>
      </c>
    </row>
    <row r="247" spans="1:9" x14ac:dyDescent="0.3">
      <c r="A247">
        <v>241</v>
      </c>
      <c r="B247">
        <v>3330</v>
      </c>
      <c r="C247" t="s">
        <v>444</v>
      </c>
      <c r="D247" t="s">
        <v>420</v>
      </c>
      <c r="E247">
        <f>_xlfn.XLOOKUP(D247,Regije!B:B,Regije!A:A)</f>
        <v>4</v>
      </c>
      <c r="F247" t="b">
        <f>_xlfn.IFNA(_xlfn.XLOOKUP(C247,'regije_občine 212'!$D$4:$D$215,'regije_občine 212'!$D$4:$D$215)=C247,FALSE)</f>
        <v>1</v>
      </c>
      <c r="H247" t="str">
        <f>_xlfn.IFNA(_xlfn.XLOOKUP(C247,'regije_občine 212'!$D$4:$D$215,'regije_občine 212'!$B$4:$B$215),"")</f>
        <v>Savinjska</v>
      </c>
      <c r="I247" s="12" t="str">
        <f t="shared" si="3"/>
        <v/>
      </c>
    </row>
    <row r="248" spans="1:9" x14ac:dyDescent="0.3">
      <c r="A248">
        <v>246</v>
      </c>
      <c r="B248">
        <v>3331</v>
      </c>
      <c r="C248" t="s">
        <v>445</v>
      </c>
      <c r="D248" t="s">
        <v>420</v>
      </c>
      <c r="E248">
        <f>_xlfn.XLOOKUP(D248,Regije!B:B,Regije!A:A)</f>
        <v>4</v>
      </c>
      <c r="F248" t="b">
        <f>_xlfn.IFNA(_xlfn.XLOOKUP(C248,'regije_občine 212'!$D$4:$D$215,'regije_občine 212'!$D$4:$D$215)=C248,FALSE)</f>
        <v>1</v>
      </c>
      <c r="H248" t="str">
        <f>_xlfn.IFNA(_xlfn.XLOOKUP(C248,'regije_občine 212'!$D$4:$D$215,'regije_občine 212'!$B$4:$B$215),"")</f>
        <v>Savinjska</v>
      </c>
      <c r="I248" s="12" t="str">
        <f t="shared" si="3"/>
        <v/>
      </c>
    </row>
    <row r="249" spans="1:9" x14ac:dyDescent="0.3">
      <c r="A249">
        <v>323</v>
      </c>
      <c r="B249">
        <v>3332</v>
      </c>
      <c r="C249" t="s">
        <v>457</v>
      </c>
      <c r="D249" t="s">
        <v>420</v>
      </c>
      <c r="E249">
        <f>_xlfn.XLOOKUP(D249,Regije!B:B,Regije!A:A)</f>
        <v>4</v>
      </c>
      <c r="F249" t="b">
        <f>_xlfn.IFNA(_xlfn.XLOOKUP(C249,'regije_občine 212'!$D$4:$D$215,'regije_občine 212'!$D$4:$D$215)=C249,FALSE)</f>
        <v>1</v>
      </c>
      <c r="H249" t="str">
        <f>_xlfn.IFNA(_xlfn.XLOOKUP(C249,'regije_občine 212'!$D$4:$D$215,'regije_občine 212'!$B$4:$B$215),"")</f>
        <v>Savinjska</v>
      </c>
      <c r="I249" s="12" t="str">
        <f t="shared" si="3"/>
        <v/>
      </c>
    </row>
    <row r="250" spans="1:9" x14ac:dyDescent="0.3">
      <c r="A250">
        <v>198</v>
      </c>
      <c r="B250">
        <v>3333</v>
      </c>
      <c r="C250" t="s">
        <v>440</v>
      </c>
      <c r="D250" t="s">
        <v>420</v>
      </c>
      <c r="E250">
        <f>_xlfn.XLOOKUP(D250,Regije!B:B,Regije!A:A)</f>
        <v>4</v>
      </c>
      <c r="F250" t="b">
        <f>_xlfn.IFNA(_xlfn.XLOOKUP(C250,'regije_občine 212'!$D$4:$D$215,'regije_občine 212'!$D$4:$D$215)=C250,FALSE)</f>
        <v>0</v>
      </c>
      <c r="H250" t="str">
        <f>_xlfn.IFNA(_xlfn.XLOOKUP(C250,'regije_občine 212'!$D$4:$D$215,'regije_občine 212'!$B$4:$B$215),"")</f>
        <v/>
      </c>
      <c r="I250" s="12" t="str">
        <f t="shared" si="3"/>
        <v/>
      </c>
    </row>
    <row r="251" spans="1:9" x14ac:dyDescent="0.3">
      <c r="A251">
        <v>210</v>
      </c>
      <c r="B251">
        <v>3334</v>
      </c>
      <c r="C251" t="s">
        <v>443</v>
      </c>
      <c r="D251" t="s">
        <v>420</v>
      </c>
      <c r="E251">
        <f>_xlfn.XLOOKUP(D251,Regije!B:B,Regije!A:A)</f>
        <v>4</v>
      </c>
      <c r="F251" t="b">
        <f>_xlfn.IFNA(_xlfn.XLOOKUP(C251,'regije_občine 212'!$D$4:$D$215,'regije_občine 212'!$D$4:$D$215)=C251,FALSE)</f>
        <v>1</v>
      </c>
      <c r="H251" t="str">
        <f>_xlfn.IFNA(_xlfn.XLOOKUP(C251,'regije_občine 212'!$D$4:$D$215,'regije_občine 212'!$B$4:$B$215),"")</f>
        <v>Savinjska</v>
      </c>
      <c r="I251" s="12" t="str">
        <f t="shared" si="3"/>
        <v/>
      </c>
    </row>
    <row r="252" spans="1:9" x14ac:dyDescent="0.3">
      <c r="A252">
        <v>352</v>
      </c>
      <c r="B252">
        <v>3335</v>
      </c>
      <c r="C252" t="s">
        <v>462</v>
      </c>
      <c r="D252" t="s">
        <v>420</v>
      </c>
      <c r="E252">
        <f>_xlfn.XLOOKUP(D252,Regije!B:B,Regije!A:A)</f>
        <v>4</v>
      </c>
      <c r="F252" t="b">
        <f>_xlfn.IFNA(_xlfn.XLOOKUP(C252,'regije_občine 212'!$D$4:$D$215,'regije_občine 212'!$D$4:$D$215)=C252,FALSE)</f>
        <v>1</v>
      </c>
      <c r="H252" t="str">
        <f>_xlfn.IFNA(_xlfn.XLOOKUP(C252,'regije_občine 212'!$D$4:$D$215,'regije_občine 212'!$B$4:$B$215),"")</f>
        <v>Savinjska</v>
      </c>
      <c r="I252" s="12" t="str">
        <f t="shared" si="3"/>
        <v/>
      </c>
    </row>
    <row r="253" spans="1:9" x14ac:dyDescent="0.3">
      <c r="A253">
        <v>404</v>
      </c>
      <c r="B253">
        <v>3341</v>
      </c>
      <c r="C253" t="s">
        <v>469</v>
      </c>
      <c r="D253" t="s">
        <v>420</v>
      </c>
      <c r="E253">
        <f>_xlfn.XLOOKUP(D253,Regije!B:B,Regije!A:A)</f>
        <v>4</v>
      </c>
      <c r="F253" t="b">
        <f>_xlfn.IFNA(_xlfn.XLOOKUP(C253,'regije_občine 212'!$D$4:$D$215,'regije_občine 212'!$D$4:$D$215)=C253,FALSE)</f>
        <v>0</v>
      </c>
      <c r="H253" t="str">
        <f>_xlfn.IFNA(_xlfn.XLOOKUP(C253,'regije_občine 212'!$D$4:$D$215,'regije_občine 212'!$B$4:$B$215),"")</f>
        <v/>
      </c>
      <c r="I253" s="12" t="str">
        <f t="shared" si="3"/>
        <v/>
      </c>
    </row>
    <row r="254" spans="1:9" x14ac:dyDescent="0.3">
      <c r="A254">
        <v>100</v>
      </c>
      <c r="B254">
        <v>3342</v>
      </c>
      <c r="C254" t="s">
        <v>431</v>
      </c>
      <c r="D254" t="s">
        <v>420</v>
      </c>
      <c r="E254">
        <f>_xlfn.XLOOKUP(D254,Regije!B:B,Regije!A:A)</f>
        <v>4</v>
      </c>
      <c r="F254" t="b">
        <f>_xlfn.IFNA(_xlfn.XLOOKUP(C254,'regije_občine 212'!$D$4:$D$215,'regije_občine 212'!$D$4:$D$215)=C254,FALSE)</f>
        <v>1</v>
      </c>
      <c r="H254" t="str">
        <f>_xlfn.IFNA(_xlfn.XLOOKUP(C254,'regije_občine 212'!$D$4:$D$215,'regije_občine 212'!$B$4:$B$215),"")</f>
        <v>Savinjska</v>
      </c>
      <c r="I254" s="12" t="str">
        <f t="shared" si="3"/>
        <v/>
      </c>
    </row>
    <row r="255" spans="1:9" x14ac:dyDescent="0.3">
      <c r="A255">
        <v>165</v>
      </c>
      <c r="B255">
        <v>4000</v>
      </c>
      <c r="C255" t="s">
        <v>22</v>
      </c>
      <c r="D255" t="s">
        <v>6</v>
      </c>
      <c r="E255">
        <f>_xlfn.XLOOKUP(D255,Regije!B:B,Regije!A:A)</f>
        <v>9</v>
      </c>
      <c r="F255" t="b">
        <f>_xlfn.IFNA(_xlfn.XLOOKUP(C255,'regije_občine 212'!$D$4:$D$215,'regije_občine 212'!$D$4:$D$215)=C255,FALSE)</f>
        <v>1</v>
      </c>
      <c r="H255" t="str">
        <f>_xlfn.IFNA(_xlfn.XLOOKUP(C255,'regije_občine 212'!$D$4:$D$215,'regije_občine 212'!$B$4:$B$215),"")</f>
        <v>Gorenjska</v>
      </c>
      <c r="I255" s="12" t="str">
        <f t="shared" si="3"/>
        <v/>
      </c>
    </row>
    <row r="256" spans="1:9" x14ac:dyDescent="0.3">
      <c r="A256">
        <v>166</v>
      </c>
      <c r="B256">
        <v>4001</v>
      </c>
      <c r="C256" t="s">
        <v>23</v>
      </c>
      <c r="D256" t="s">
        <v>6</v>
      </c>
      <c r="E256">
        <f>_xlfn.XLOOKUP(D256,Regije!B:B,Regije!A:A)</f>
        <v>9</v>
      </c>
      <c r="F256" t="b">
        <f>_xlfn.IFNA(_xlfn.XLOOKUP(C256,'regije_občine 212'!$D$4:$D$215,'regije_občine 212'!$D$4:$D$215)=C256,FALSE)</f>
        <v>0</v>
      </c>
      <c r="H256" t="str">
        <f>_xlfn.IFNA(_xlfn.XLOOKUP(C256,'regije_občine 212'!$D$4:$D$215,'regije_občine 212'!$B$4:$B$215),"")</f>
        <v/>
      </c>
      <c r="I256" s="12" t="str">
        <f t="shared" si="3"/>
        <v/>
      </c>
    </row>
    <row r="257" spans="1:9" x14ac:dyDescent="0.3">
      <c r="A257">
        <v>461</v>
      </c>
      <c r="B257">
        <v>4201</v>
      </c>
      <c r="C257" t="s">
        <v>44</v>
      </c>
      <c r="D257" t="s">
        <v>6</v>
      </c>
      <c r="E257">
        <f>_xlfn.XLOOKUP(D257,Regije!B:B,Regije!A:A)</f>
        <v>9</v>
      </c>
      <c r="F257" t="b">
        <f>_xlfn.IFNA(_xlfn.XLOOKUP(C257,'regije_občine 212'!$D$4:$D$215,'regije_občine 212'!$D$4:$D$215)=C257,FALSE)</f>
        <v>0</v>
      </c>
      <c r="H257" t="str">
        <f>_xlfn.IFNA(_xlfn.XLOOKUP(C257,'regije_občine 212'!$D$4:$D$215,'regije_občine 212'!$B$4:$B$215),"")</f>
        <v/>
      </c>
      <c r="I257" s="12" t="str">
        <f t="shared" si="3"/>
        <v/>
      </c>
    </row>
    <row r="258" spans="1:9" x14ac:dyDescent="0.3">
      <c r="A258">
        <v>245</v>
      </c>
      <c r="B258">
        <v>4202</v>
      </c>
      <c r="C258" t="s">
        <v>30</v>
      </c>
      <c r="D258" t="s">
        <v>6</v>
      </c>
      <c r="E258">
        <f>_xlfn.XLOOKUP(D258,Regije!B:B,Regije!A:A)</f>
        <v>9</v>
      </c>
      <c r="F258" t="b">
        <f>_xlfn.IFNA(_xlfn.XLOOKUP(C258,'regije_občine 212'!$D$4:$D$215,'regije_občine 212'!$D$4:$D$215)=C258,FALSE)</f>
        <v>1</v>
      </c>
      <c r="H258" t="str">
        <f>_xlfn.IFNA(_xlfn.XLOOKUP(C258,'regije_občine 212'!$D$4:$D$215,'regije_občine 212'!$B$4:$B$215),"")</f>
        <v>Gorenjska</v>
      </c>
      <c r="I258" s="12" t="str">
        <f t="shared" si="3"/>
        <v/>
      </c>
    </row>
    <row r="259" spans="1:9" x14ac:dyDescent="0.3">
      <c r="A259">
        <v>84</v>
      </c>
      <c r="B259">
        <v>4203</v>
      </c>
      <c r="C259" t="s">
        <v>15</v>
      </c>
      <c r="D259" t="s">
        <v>6</v>
      </c>
      <c r="E259">
        <f>_xlfn.XLOOKUP(D259,Regije!B:B,Regije!A:A)</f>
        <v>9</v>
      </c>
      <c r="F259" t="b">
        <f>_xlfn.IFNA(_xlfn.XLOOKUP(C259,'regije_občine 212'!$D$4:$D$215,'regije_občine 212'!$D$4:$D$215)=C259,FALSE)</f>
        <v>0</v>
      </c>
      <c r="H259" t="str">
        <f>_xlfn.IFNA(_xlfn.XLOOKUP(C259,'regije_občine 212'!$D$4:$D$215,'regije_občine 212'!$B$4:$B$215),"")</f>
        <v/>
      </c>
      <c r="I259" s="12" t="str">
        <f t="shared" ref="I259:I322" si="4">IF(AND(H259&lt;&gt;"",H259&lt;&gt;D259),"drugačna regija!","")</f>
        <v/>
      </c>
    </row>
    <row r="260" spans="1:9" x14ac:dyDescent="0.3">
      <c r="A260">
        <v>94</v>
      </c>
      <c r="B260">
        <v>4204</v>
      </c>
      <c r="C260" t="s">
        <v>16</v>
      </c>
      <c r="D260" t="s">
        <v>6</v>
      </c>
      <c r="E260">
        <f>_xlfn.XLOOKUP(D260,Regije!B:B,Regije!A:A)</f>
        <v>9</v>
      </c>
      <c r="F260" t="b">
        <f>_xlfn.IFNA(_xlfn.XLOOKUP(C260,'regije_občine 212'!$D$4:$D$215,'regije_občine 212'!$D$4:$D$215)=C260,FALSE)</f>
        <v>0</v>
      </c>
      <c r="H260" t="str">
        <f>_xlfn.IFNA(_xlfn.XLOOKUP(C260,'regije_občine 212'!$D$4:$D$215,'regije_občine 212'!$B$4:$B$215),"")</f>
        <v/>
      </c>
      <c r="I260" s="12" t="str">
        <f t="shared" si="4"/>
        <v/>
      </c>
    </row>
    <row r="261" spans="1:9" x14ac:dyDescent="0.3">
      <c r="A261">
        <v>299</v>
      </c>
      <c r="B261">
        <v>4205</v>
      </c>
      <c r="C261" t="s">
        <v>33</v>
      </c>
      <c r="D261" t="s">
        <v>6</v>
      </c>
      <c r="E261">
        <f>_xlfn.XLOOKUP(D261,Regije!B:B,Regije!A:A)</f>
        <v>9</v>
      </c>
      <c r="F261" t="b">
        <f>_xlfn.IFNA(_xlfn.XLOOKUP(C261,'regije_občine 212'!$D$4:$D$215,'regije_občine 212'!$D$4:$D$215)=C261,FALSE)</f>
        <v>1</v>
      </c>
      <c r="H261" t="str">
        <f>_xlfn.IFNA(_xlfn.XLOOKUP(C261,'regije_občine 212'!$D$4:$D$215,'regije_občine 212'!$B$4:$B$215),"")</f>
        <v>Gorenjska</v>
      </c>
      <c r="I261" s="12" t="str">
        <f t="shared" si="4"/>
        <v/>
      </c>
    </row>
    <row r="262" spans="1:9" x14ac:dyDescent="0.3">
      <c r="A262">
        <v>468</v>
      </c>
      <c r="B262">
        <v>4206</v>
      </c>
      <c r="C262" t="s">
        <v>46</v>
      </c>
      <c r="D262" t="s">
        <v>6</v>
      </c>
      <c r="E262">
        <f>_xlfn.XLOOKUP(D262,Regije!B:B,Regije!A:A)</f>
        <v>9</v>
      </c>
      <c r="F262" t="b">
        <f>_xlfn.IFNA(_xlfn.XLOOKUP(C262,'regije_občine 212'!$D$4:$D$215,'regije_občine 212'!$D$4:$D$215)=C262,FALSE)</f>
        <v>0</v>
      </c>
      <c r="H262" t="str">
        <f>_xlfn.IFNA(_xlfn.XLOOKUP(C262,'regije_občine 212'!$D$4:$D$215,'regije_občine 212'!$B$4:$B$215),"")</f>
        <v/>
      </c>
      <c r="I262" s="12" t="str">
        <f t="shared" si="4"/>
        <v/>
      </c>
    </row>
    <row r="263" spans="1:9" x14ac:dyDescent="0.3">
      <c r="A263">
        <v>40</v>
      </c>
      <c r="B263">
        <v>4207</v>
      </c>
      <c r="C263" t="s">
        <v>14</v>
      </c>
      <c r="D263" t="s">
        <v>6</v>
      </c>
      <c r="E263">
        <f>_xlfn.XLOOKUP(D263,Regije!B:B,Regije!A:A)</f>
        <v>9</v>
      </c>
      <c r="F263" t="b">
        <f>_xlfn.IFNA(_xlfn.XLOOKUP(C263,'regije_občine 212'!$D$4:$D$215,'regije_občine 212'!$D$4:$D$215)=C263,FALSE)</f>
        <v>1</v>
      </c>
      <c r="H263" t="str">
        <f>_xlfn.IFNA(_xlfn.XLOOKUP(C263,'regije_občine 212'!$D$4:$D$215,'regije_občine 212'!$B$4:$B$215),"")</f>
        <v>Gorenjska</v>
      </c>
      <c r="I263" s="12" t="str">
        <f t="shared" si="4"/>
        <v/>
      </c>
    </row>
    <row r="264" spans="1:9" x14ac:dyDescent="0.3">
      <c r="A264">
        <v>385</v>
      </c>
      <c r="B264">
        <v>4208</v>
      </c>
      <c r="C264" t="s">
        <v>40</v>
      </c>
      <c r="D264" t="s">
        <v>6</v>
      </c>
      <c r="E264">
        <f>_xlfn.XLOOKUP(D264,Regije!B:B,Regije!A:A)</f>
        <v>9</v>
      </c>
      <c r="F264" t="b">
        <f>_xlfn.IFNA(_xlfn.XLOOKUP(C264,'regije_občine 212'!$D$4:$D$215,'regije_občine 212'!$D$4:$D$215)=C264,FALSE)</f>
        <v>1</v>
      </c>
      <c r="H264" t="str">
        <f>_xlfn.IFNA(_xlfn.XLOOKUP(C264,'regije_občine 212'!$D$4:$D$215,'regije_občine 212'!$B$4:$B$215),"")</f>
        <v>Gorenjska</v>
      </c>
      <c r="I264" s="12" t="str">
        <f t="shared" si="4"/>
        <v/>
      </c>
    </row>
    <row r="265" spans="1:9" x14ac:dyDescent="0.3">
      <c r="A265">
        <v>472</v>
      </c>
      <c r="B265">
        <v>4209</v>
      </c>
      <c r="C265" t="s">
        <v>47</v>
      </c>
      <c r="D265" t="s">
        <v>6</v>
      </c>
      <c r="E265">
        <f>_xlfn.XLOOKUP(D265,Regije!B:B,Regije!A:A)</f>
        <v>9</v>
      </c>
      <c r="F265" t="b">
        <f>_xlfn.IFNA(_xlfn.XLOOKUP(C265,'regije_občine 212'!$D$4:$D$215,'regije_občine 212'!$D$4:$D$215)=C265,FALSE)</f>
        <v>0</v>
      </c>
      <c r="H265" t="str">
        <f>_xlfn.IFNA(_xlfn.XLOOKUP(C265,'regije_občine 212'!$D$4:$D$215,'regije_občine 212'!$B$4:$B$215),"")</f>
        <v/>
      </c>
      <c r="I265" s="12" t="str">
        <f t="shared" si="4"/>
        <v/>
      </c>
    </row>
    <row r="266" spans="1:9" x14ac:dyDescent="0.3">
      <c r="A266">
        <v>33</v>
      </c>
      <c r="B266">
        <v>4210</v>
      </c>
      <c r="C266" t="s">
        <v>13</v>
      </c>
      <c r="D266" t="s">
        <v>6</v>
      </c>
      <c r="E266">
        <f>_xlfn.XLOOKUP(D266,Regije!B:B,Regije!A:A)</f>
        <v>9</v>
      </c>
      <c r="F266" t="b">
        <f>_xlfn.IFNA(_xlfn.XLOOKUP(C266,'regije_občine 212'!$D$4:$D$215,'regije_občine 212'!$D$4:$D$215)=C266,FALSE)</f>
        <v>0</v>
      </c>
      <c r="H266" t="str">
        <f>_xlfn.IFNA(_xlfn.XLOOKUP(C266,'regije_občine 212'!$D$4:$D$215,'regije_občine 212'!$B$4:$B$215),"")</f>
        <v/>
      </c>
      <c r="I266" s="12" t="str">
        <f t="shared" si="4"/>
        <v/>
      </c>
    </row>
    <row r="267" spans="1:9" x14ac:dyDescent="0.3">
      <c r="A267">
        <v>224</v>
      </c>
      <c r="B267">
        <v>4211</v>
      </c>
      <c r="C267" t="s">
        <v>28</v>
      </c>
      <c r="D267" t="s">
        <v>6</v>
      </c>
      <c r="E267">
        <f>_xlfn.XLOOKUP(D267,Regije!B:B,Regije!A:A)</f>
        <v>9</v>
      </c>
      <c r="F267" t="b">
        <f>_xlfn.IFNA(_xlfn.XLOOKUP(C267,'regije_občine 212'!$D$4:$D$215,'regije_občine 212'!$D$4:$D$215)=C267,FALSE)</f>
        <v>0</v>
      </c>
      <c r="H267" t="str">
        <f>_xlfn.IFNA(_xlfn.XLOOKUP(C267,'regije_občine 212'!$D$4:$D$215,'regije_občine 212'!$B$4:$B$215),"")</f>
        <v/>
      </c>
      <c r="I267" s="12" t="str">
        <f t="shared" si="4"/>
        <v/>
      </c>
    </row>
    <row r="268" spans="1:9" x14ac:dyDescent="0.3">
      <c r="A268">
        <v>443</v>
      </c>
      <c r="B268">
        <v>4212</v>
      </c>
      <c r="C268" t="s">
        <v>43</v>
      </c>
      <c r="D268" t="s">
        <v>6</v>
      </c>
      <c r="E268">
        <f>_xlfn.XLOOKUP(D268,Regije!B:B,Regije!A:A)</f>
        <v>9</v>
      </c>
      <c r="F268" t="b">
        <f>_xlfn.IFNA(_xlfn.XLOOKUP(C268,'regije_občine 212'!$D$4:$D$215,'regije_občine 212'!$D$4:$D$215)=C268,FALSE)</f>
        <v>0</v>
      </c>
      <c r="H268" t="str">
        <f>_xlfn.IFNA(_xlfn.XLOOKUP(C268,'regije_občine 212'!$D$4:$D$215,'regije_občine 212'!$B$4:$B$215),"")</f>
        <v/>
      </c>
      <c r="I268" s="12" t="str">
        <f t="shared" si="4"/>
        <v/>
      </c>
    </row>
    <row r="269" spans="1:9" x14ac:dyDescent="0.3">
      <c r="A269">
        <v>396</v>
      </c>
      <c r="B269">
        <v>4220</v>
      </c>
      <c r="C269" t="s">
        <v>41</v>
      </c>
      <c r="D269" t="s">
        <v>6</v>
      </c>
      <c r="E269">
        <f>_xlfn.XLOOKUP(D269,Regije!B:B,Regije!A:A)</f>
        <v>9</v>
      </c>
      <c r="F269" t="b">
        <f>_xlfn.IFNA(_xlfn.XLOOKUP(C269,'regije_občine 212'!$D$4:$D$215,'regije_občine 212'!$D$4:$D$215)=C269,FALSE)</f>
        <v>1</v>
      </c>
      <c r="H269" t="str">
        <f>_xlfn.IFNA(_xlfn.XLOOKUP(C269,'regije_občine 212'!$D$4:$D$215,'regije_občine 212'!$B$4:$B$215),"")</f>
        <v>Gorenjska</v>
      </c>
      <c r="I269" s="12" t="str">
        <f t="shared" si="4"/>
        <v/>
      </c>
    </row>
    <row r="270" spans="1:9" x14ac:dyDescent="0.3">
      <c r="A270">
        <v>290</v>
      </c>
      <c r="B270">
        <v>4223</v>
      </c>
      <c r="C270" t="s">
        <v>32</v>
      </c>
      <c r="D270" t="s">
        <v>6</v>
      </c>
      <c r="E270">
        <f>_xlfn.XLOOKUP(D270,Regije!B:B,Regije!A:A)</f>
        <v>9</v>
      </c>
      <c r="F270" t="b">
        <f>_xlfn.IFNA(_xlfn.XLOOKUP(C270,'regije_občine 212'!$D$4:$D$215,'regije_občine 212'!$D$4:$D$215)=C270,FALSE)</f>
        <v>0</v>
      </c>
      <c r="H270" t="str">
        <f>_xlfn.IFNA(_xlfn.XLOOKUP(C270,'regije_občine 212'!$D$4:$D$215,'regije_občine 212'!$B$4:$B$215),"")</f>
        <v/>
      </c>
      <c r="I270" s="12" t="str">
        <f t="shared" si="4"/>
        <v/>
      </c>
    </row>
    <row r="271" spans="1:9" x14ac:dyDescent="0.3">
      <c r="A271">
        <v>96</v>
      </c>
      <c r="B271">
        <v>4224</v>
      </c>
      <c r="C271" t="s">
        <v>17</v>
      </c>
      <c r="D271" t="s">
        <v>6</v>
      </c>
      <c r="E271">
        <f>_xlfn.XLOOKUP(D271,Regije!B:B,Regije!A:A)</f>
        <v>9</v>
      </c>
      <c r="F271" t="b">
        <f>_xlfn.IFNA(_xlfn.XLOOKUP(C271,'regije_občine 212'!$D$4:$D$215,'regije_občine 212'!$D$4:$D$215)=C271,FALSE)</f>
        <v>0</v>
      </c>
      <c r="H271" t="str">
        <f>_xlfn.IFNA(_xlfn.XLOOKUP(C271,'regije_občine 212'!$D$4:$D$215,'regije_občine 212'!$B$4:$B$215),"")</f>
        <v/>
      </c>
      <c r="I271" s="12" t="str">
        <f t="shared" si="4"/>
        <v/>
      </c>
    </row>
    <row r="272" spans="1:9" x14ac:dyDescent="0.3">
      <c r="A272">
        <v>355</v>
      </c>
      <c r="B272">
        <v>4225</v>
      </c>
      <c r="C272" t="s">
        <v>38</v>
      </c>
      <c r="D272" t="s">
        <v>6</v>
      </c>
      <c r="E272">
        <f>_xlfn.XLOOKUP(D272,Regije!B:B,Regije!A:A)</f>
        <v>9</v>
      </c>
      <c r="F272" t="b">
        <f>_xlfn.IFNA(_xlfn.XLOOKUP(C272,'regije_občine 212'!$D$4:$D$215,'regije_občine 212'!$D$4:$D$215)=C272,FALSE)</f>
        <v>0</v>
      </c>
      <c r="H272" t="str">
        <f>_xlfn.IFNA(_xlfn.XLOOKUP(C272,'regije_občine 212'!$D$4:$D$215,'regije_občine 212'!$B$4:$B$215),"")</f>
        <v/>
      </c>
      <c r="I272" s="12" t="str">
        <f t="shared" si="4"/>
        <v/>
      </c>
    </row>
    <row r="273" spans="1:9" x14ac:dyDescent="0.3">
      <c r="A273">
        <v>476</v>
      </c>
      <c r="B273">
        <v>4226</v>
      </c>
      <c r="C273" t="s">
        <v>49</v>
      </c>
      <c r="D273" t="s">
        <v>6</v>
      </c>
      <c r="E273">
        <f>_xlfn.XLOOKUP(D273,Regije!B:B,Regije!A:A)</f>
        <v>9</v>
      </c>
      <c r="F273" t="b">
        <f>_xlfn.IFNA(_xlfn.XLOOKUP(C273,'regije_občine 212'!$D$4:$D$215,'regije_občine 212'!$D$4:$D$215)=C273,FALSE)</f>
        <v>1</v>
      </c>
      <c r="H273" t="str">
        <f>_xlfn.IFNA(_xlfn.XLOOKUP(C273,'regije_občine 212'!$D$4:$D$215,'regije_občine 212'!$B$4:$B$215),"")</f>
        <v>Gorenjska</v>
      </c>
      <c r="I273" s="12" t="str">
        <f t="shared" si="4"/>
        <v/>
      </c>
    </row>
    <row r="274" spans="1:9" x14ac:dyDescent="0.3">
      <c r="A274">
        <v>337</v>
      </c>
      <c r="B274">
        <v>4227</v>
      </c>
      <c r="C274" t="s">
        <v>36</v>
      </c>
      <c r="D274" t="s">
        <v>6</v>
      </c>
      <c r="E274">
        <f>_xlfn.XLOOKUP(D274,Regije!B:B,Regije!A:A)</f>
        <v>9</v>
      </c>
      <c r="F274" t="b">
        <f>_xlfn.IFNA(_xlfn.XLOOKUP(C274,'regije_občine 212'!$D$4:$D$215,'regije_občine 212'!$D$4:$D$215)=C274,FALSE)</f>
        <v>0</v>
      </c>
      <c r="H274" t="str">
        <f>_xlfn.IFNA(_xlfn.XLOOKUP(C274,'regije_občine 212'!$D$4:$D$215,'regije_občine 212'!$B$4:$B$215),"")</f>
        <v/>
      </c>
      <c r="I274" s="12" t="str">
        <f t="shared" si="4"/>
        <v/>
      </c>
    </row>
    <row r="275" spans="1:9" x14ac:dyDescent="0.3">
      <c r="A275">
        <v>474</v>
      </c>
      <c r="B275">
        <v>4228</v>
      </c>
      <c r="C275" t="s">
        <v>48</v>
      </c>
      <c r="D275" t="s">
        <v>6</v>
      </c>
      <c r="E275">
        <f>_xlfn.XLOOKUP(D275,Regije!B:B,Regije!A:A)</f>
        <v>9</v>
      </c>
      <c r="F275" t="b">
        <f>_xlfn.IFNA(_xlfn.XLOOKUP(C275,'regije_občine 212'!$D$4:$D$215,'regije_občine 212'!$D$4:$D$215)=C275,FALSE)</f>
        <v>1</v>
      </c>
      <c r="H275" t="str">
        <f>_xlfn.IFNA(_xlfn.XLOOKUP(C275,'regije_občine 212'!$D$4:$D$215,'regije_občine 212'!$B$4:$B$215),"")</f>
        <v>Gorenjska</v>
      </c>
      <c r="I275" s="12" t="str">
        <f t="shared" si="4"/>
        <v/>
      </c>
    </row>
    <row r="276" spans="1:9" x14ac:dyDescent="0.3">
      <c r="A276">
        <v>354</v>
      </c>
      <c r="B276">
        <v>4229</v>
      </c>
      <c r="C276" t="s">
        <v>37</v>
      </c>
      <c r="D276" t="s">
        <v>6</v>
      </c>
      <c r="E276">
        <f>_xlfn.XLOOKUP(D276,Regije!B:B,Regije!A:A)</f>
        <v>9</v>
      </c>
      <c r="F276" t="b">
        <f>_xlfn.IFNA(_xlfn.XLOOKUP(C276,'regije_občine 212'!$D$4:$D$215,'regije_občine 212'!$D$4:$D$215)=C276,FALSE)</f>
        <v>0</v>
      </c>
      <c r="H276" t="str">
        <f>_xlfn.IFNA(_xlfn.XLOOKUP(C276,'regije_občine 212'!$D$4:$D$215,'regije_občine 212'!$B$4:$B$215),"")</f>
        <v/>
      </c>
      <c r="I276" s="12" t="str">
        <f t="shared" si="4"/>
        <v/>
      </c>
    </row>
    <row r="277" spans="1:9" x14ac:dyDescent="0.3">
      <c r="A277">
        <v>317</v>
      </c>
      <c r="B277">
        <v>4240</v>
      </c>
      <c r="C277" t="s">
        <v>34</v>
      </c>
      <c r="D277" t="s">
        <v>6</v>
      </c>
      <c r="E277">
        <f>_xlfn.XLOOKUP(D277,Regije!B:B,Regije!A:A)</f>
        <v>9</v>
      </c>
      <c r="F277" t="b">
        <f>_xlfn.IFNA(_xlfn.XLOOKUP(C277,'regije_občine 212'!$D$4:$D$215,'regije_občine 212'!$D$4:$D$215)=C277,FALSE)</f>
        <v>1</v>
      </c>
      <c r="H277" t="str">
        <f>_xlfn.IFNA(_xlfn.XLOOKUP(C277,'regije_občine 212'!$D$4:$D$215,'regije_občine 212'!$B$4:$B$215),"")</f>
        <v>Gorenjska</v>
      </c>
      <c r="I277" s="12" t="str">
        <f t="shared" si="4"/>
        <v/>
      </c>
    </row>
    <row r="278" spans="1:9" x14ac:dyDescent="0.3">
      <c r="A278">
        <v>30</v>
      </c>
      <c r="B278">
        <v>4243</v>
      </c>
      <c r="C278" t="s">
        <v>12</v>
      </c>
      <c r="D278" t="s">
        <v>6</v>
      </c>
      <c r="E278">
        <f>_xlfn.XLOOKUP(D278,Regije!B:B,Regije!A:A)</f>
        <v>9</v>
      </c>
      <c r="F278" t="b">
        <f>_xlfn.IFNA(_xlfn.XLOOKUP(C278,'regije_občine 212'!$D$4:$D$215,'regije_občine 212'!$D$4:$D$215)=C278,FALSE)</f>
        <v>0</v>
      </c>
      <c r="H278" t="str">
        <f>_xlfn.IFNA(_xlfn.XLOOKUP(C278,'regije_občine 212'!$D$4:$D$215,'regije_občine 212'!$B$4:$B$215),"")</f>
        <v/>
      </c>
      <c r="I278" s="12" t="str">
        <f t="shared" si="4"/>
        <v/>
      </c>
    </row>
    <row r="279" spans="1:9" x14ac:dyDescent="0.3">
      <c r="A279">
        <v>283</v>
      </c>
      <c r="B279">
        <v>4244</v>
      </c>
      <c r="C279" t="s">
        <v>31</v>
      </c>
      <c r="D279" t="s">
        <v>6</v>
      </c>
      <c r="E279">
        <f>_xlfn.XLOOKUP(D279,Regije!B:B,Regije!A:A)</f>
        <v>9</v>
      </c>
      <c r="F279" t="b">
        <f>_xlfn.IFNA(_xlfn.XLOOKUP(C279,'regije_občine 212'!$D$4:$D$215,'regije_občine 212'!$D$4:$D$215)=C279,FALSE)</f>
        <v>0</v>
      </c>
      <c r="H279" t="str">
        <f>_xlfn.IFNA(_xlfn.XLOOKUP(C279,'regije_občine 212'!$D$4:$D$215,'regije_občine 212'!$B$4:$B$215),"")</f>
        <v/>
      </c>
      <c r="I279" s="12" t="str">
        <f t="shared" si="4"/>
        <v/>
      </c>
    </row>
    <row r="280" spans="1:9" x14ac:dyDescent="0.3">
      <c r="A280">
        <v>174</v>
      </c>
      <c r="B280">
        <v>4245</v>
      </c>
      <c r="C280" t="s">
        <v>26</v>
      </c>
      <c r="D280" t="s">
        <v>6</v>
      </c>
      <c r="E280">
        <f>_xlfn.XLOOKUP(D280,Regije!B:B,Regije!A:A)</f>
        <v>9</v>
      </c>
      <c r="F280" t="b">
        <f>_xlfn.IFNA(_xlfn.XLOOKUP(C280,'regije_občine 212'!$D$4:$D$215,'regije_občine 212'!$D$4:$D$215)=C280,FALSE)</f>
        <v>0</v>
      </c>
      <c r="H280" t="str">
        <f>_xlfn.IFNA(_xlfn.XLOOKUP(C280,'regije_občine 212'!$D$4:$D$215,'regije_občine 212'!$B$4:$B$215),"")</f>
        <v/>
      </c>
      <c r="I280" s="12" t="str">
        <f t="shared" si="4"/>
        <v/>
      </c>
    </row>
    <row r="281" spans="1:9" x14ac:dyDescent="0.3">
      <c r="A281">
        <v>138</v>
      </c>
      <c r="B281">
        <v>4246</v>
      </c>
      <c r="C281" t="s">
        <v>21</v>
      </c>
      <c r="D281" t="s">
        <v>6</v>
      </c>
      <c r="E281">
        <f>_xlfn.XLOOKUP(D281,Regije!B:B,Regije!A:A)</f>
        <v>9</v>
      </c>
      <c r="F281" t="b">
        <f>_xlfn.IFNA(_xlfn.XLOOKUP(C281,'regije_občine 212'!$D$4:$D$215,'regije_občine 212'!$D$4:$D$215)=C281,FALSE)</f>
        <v>0</v>
      </c>
      <c r="H281" t="str">
        <f>_xlfn.IFNA(_xlfn.XLOOKUP(C281,'regije_občine 212'!$D$4:$D$215,'regije_občine 212'!$B$4:$B$215),"")</f>
        <v/>
      </c>
      <c r="I281" s="12" t="str">
        <f t="shared" si="4"/>
        <v/>
      </c>
    </row>
    <row r="282" spans="1:9" x14ac:dyDescent="0.3">
      <c r="A282">
        <v>467</v>
      </c>
      <c r="B282">
        <v>4247</v>
      </c>
      <c r="C282" t="s">
        <v>45</v>
      </c>
      <c r="D282" t="s">
        <v>6</v>
      </c>
      <c r="E282">
        <f>_xlfn.XLOOKUP(D282,Regije!B:B,Regije!A:A)</f>
        <v>9</v>
      </c>
      <c r="F282" t="b">
        <f>_xlfn.IFNA(_xlfn.XLOOKUP(C282,'regije_občine 212'!$D$4:$D$215,'regije_občine 212'!$D$4:$D$215)=C282,FALSE)</f>
        <v>0</v>
      </c>
      <c r="H282" t="str">
        <f>_xlfn.IFNA(_xlfn.XLOOKUP(C282,'regije_občine 212'!$D$4:$D$215,'regije_občine 212'!$B$4:$B$215),"")</f>
        <v/>
      </c>
      <c r="I282" s="12" t="str">
        <f t="shared" si="4"/>
        <v/>
      </c>
    </row>
    <row r="283" spans="1:9" x14ac:dyDescent="0.3">
      <c r="A283">
        <v>183</v>
      </c>
      <c r="B283">
        <v>4248</v>
      </c>
      <c r="C283" t="s">
        <v>27</v>
      </c>
      <c r="D283" t="s">
        <v>6</v>
      </c>
      <c r="E283">
        <f>_xlfn.XLOOKUP(D283,Regije!B:B,Regije!A:A)</f>
        <v>9</v>
      </c>
      <c r="F283" t="b">
        <f>_xlfn.IFNA(_xlfn.XLOOKUP(C283,'regije_občine 212'!$D$4:$D$215,'regije_občine 212'!$D$4:$D$215)=C283,FALSE)</f>
        <v>0</v>
      </c>
      <c r="H283" t="str">
        <f>_xlfn.IFNA(_xlfn.XLOOKUP(C283,'regije_občine 212'!$D$4:$D$215,'regije_občine 212'!$B$4:$B$215),"")</f>
        <v/>
      </c>
      <c r="I283" s="12" t="str">
        <f t="shared" si="4"/>
        <v/>
      </c>
    </row>
    <row r="284" spans="1:9" x14ac:dyDescent="0.3">
      <c r="A284">
        <v>15</v>
      </c>
      <c r="B284">
        <v>4260</v>
      </c>
      <c r="C284" t="s">
        <v>7</v>
      </c>
      <c r="D284" t="s">
        <v>6</v>
      </c>
      <c r="E284">
        <f>_xlfn.XLOOKUP(D284,Regije!B:B,Regije!A:A)</f>
        <v>9</v>
      </c>
      <c r="F284" t="b">
        <f>_xlfn.IFNA(_xlfn.XLOOKUP(C284,'regije_občine 212'!$D$4:$D$215,'regije_občine 212'!$D$4:$D$215)=C284,FALSE)</f>
        <v>1</v>
      </c>
      <c r="H284" t="str">
        <f>_xlfn.IFNA(_xlfn.XLOOKUP(C284,'regije_občine 212'!$D$4:$D$215,'regije_občine 212'!$B$4:$B$215),"")</f>
        <v>Gorenjska</v>
      </c>
      <c r="I284" s="12" t="str">
        <f t="shared" si="4"/>
        <v/>
      </c>
    </row>
    <row r="285" spans="1:9" x14ac:dyDescent="0.3">
      <c r="A285">
        <v>19</v>
      </c>
      <c r="B285">
        <v>4263</v>
      </c>
      <c r="C285" t="s">
        <v>9</v>
      </c>
      <c r="D285" t="s">
        <v>6</v>
      </c>
      <c r="E285">
        <f>_xlfn.XLOOKUP(D285,Regije!B:B,Regije!A:A)</f>
        <v>9</v>
      </c>
      <c r="F285" t="b">
        <f>_xlfn.IFNA(_xlfn.XLOOKUP(C285,'regije_občine 212'!$D$4:$D$215,'regije_občine 212'!$D$4:$D$215)=C285,FALSE)</f>
        <v>0</v>
      </c>
      <c r="H285" t="str">
        <f>_xlfn.IFNA(_xlfn.XLOOKUP(C285,'regije_občine 212'!$D$4:$D$215,'regije_občine 212'!$B$4:$B$215),"")</f>
        <v/>
      </c>
      <c r="I285" s="12" t="str">
        <f t="shared" si="4"/>
        <v/>
      </c>
    </row>
    <row r="286" spans="1:9" x14ac:dyDescent="0.3">
      <c r="A286">
        <v>20</v>
      </c>
      <c r="B286">
        <v>4264</v>
      </c>
      <c r="C286" t="s">
        <v>10</v>
      </c>
      <c r="D286" t="s">
        <v>6</v>
      </c>
      <c r="E286">
        <f>_xlfn.XLOOKUP(D286,Regije!B:B,Regije!A:A)</f>
        <v>9</v>
      </c>
      <c r="F286" t="b">
        <f>_xlfn.IFNA(_xlfn.XLOOKUP(C286,'regije_občine 212'!$D$4:$D$215,'regije_občine 212'!$D$4:$D$215)=C286,FALSE)</f>
        <v>0</v>
      </c>
      <c r="H286" t="str">
        <f>_xlfn.IFNA(_xlfn.XLOOKUP(C286,'regije_občine 212'!$D$4:$D$215,'regije_občine 212'!$B$4:$B$215),"")</f>
        <v/>
      </c>
      <c r="I286" s="12" t="str">
        <f t="shared" si="4"/>
        <v/>
      </c>
    </row>
    <row r="287" spans="1:9" x14ac:dyDescent="0.3">
      <c r="A287">
        <v>21</v>
      </c>
      <c r="B287">
        <v>4265</v>
      </c>
      <c r="C287" t="s">
        <v>11</v>
      </c>
      <c r="D287" t="s">
        <v>6</v>
      </c>
      <c r="E287">
        <f>_xlfn.XLOOKUP(D287,Regije!B:B,Regije!A:A)</f>
        <v>9</v>
      </c>
      <c r="F287" t="b">
        <f>_xlfn.IFNA(_xlfn.XLOOKUP(C287,'regije_občine 212'!$D$4:$D$215,'regije_občine 212'!$D$4:$D$215)=C287,FALSE)</f>
        <v>0</v>
      </c>
      <c r="H287" t="str">
        <f>_xlfn.IFNA(_xlfn.XLOOKUP(C287,'regije_občine 212'!$D$4:$D$215,'regije_občine 212'!$B$4:$B$215),"")</f>
        <v/>
      </c>
      <c r="I287" s="12" t="str">
        <f t="shared" si="4"/>
        <v/>
      </c>
    </row>
    <row r="288" spans="1:9" x14ac:dyDescent="0.3">
      <c r="A288">
        <v>360</v>
      </c>
      <c r="B288">
        <v>4267</v>
      </c>
      <c r="C288" t="s">
        <v>39</v>
      </c>
      <c r="D288" t="s">
        <v>6</v>
      </c>
      <c r="E288">
        <f>_xlfn.XLOOKUP(D288,Regije!B:B,Regije!A:A)</f>
        <v>9</v>
      </c>
      <c r="F288" t="b">
        <f>_xlfn.IFNA(_xlfn.XLOOKUP(C288,'regije_občine 212'!$D$4:$D$215,'regije_občine 212'!$D$4:$D$215)=C288,FALSE)</f>
        <v>0</v>
      </c>
      <c r="H288" t="str">
        <f>_xlfn.IFNA(_xlfn.XLOOKUP(C288,'regije_občine 212'!$D$4:$D$215,'regije_občine 212'!$B$4:$B$215),"")</f>
        <v/>
      </c>
      <c r="I288" s="12" t="str">
        <f t="shared" si="4"/>
        <v/>
      </c>
    </row>
    <row r="289" spans="1:9" x14ac:dyDescent="0.3">
      <c r="A289">
        <v>131</v>
      </c>
      <c r="B289">
        <v>4270</v>
      </c>
      <c r="C289" t="s">
        <v>20</v>
      </c>
      <c r="D289" t="s">
        <v>6</v>
      </c>
      <c r="E289">
        <f>_xlfn.XLOOKUP(D289,Regije!B:B,Regije!A:A)</f>
        <v>9</v>
      </c>
      <c r="F289" t="b">
        <f>_xlfn.IFNA(_xlfn.XLOOKUP(C289,'regije_občine 212'!$D$4:$D$215,'regije_občine 212'!$D$4:$D$215)=C289,FALSE)</f>
        <v>1</v>
      </c>
      <c r="H289" t="str">
        <f>_xlfn.IFNA(_xlfn.XLOOKUP(C289,'regije_občine 212'!$D$4:$D$215,'regije_občine 212'!$B$4:$B$215),"")</f>
        <v>Gorenjska</v>
      </c>
      <c r="I289" s="12" t="str">
        <f t="shared" si="4"/>
        <v/>
      </c>
    </row>
    <row r="290" spans="1:9" x14ac:dyDescent="0.3">
      <c r="A290">
        <v>16</v>
      </c>
      <c r="B290">
        <v>4273</v>
      </c>
      <c r="C290" t="s">
        <v>8</v>
      </c>
      <c r="D290" t="s">
        <v>6</v>
      </c>
      <c r="E290">
        <f>_xlfn.XLOOKUP(D290,Regije!B:B,Regije!A:A)</f>
        <v>9</v>
      </c>
      <c r="F290" t="b">
        <f>_xlfn.IFNA(_xlfn.XLOOKUP(C290,'regije_občine 212'!$D$4:$D$215,'regije_občine 212'!$D$4:$D$215)=C290,FALSE)</f>
        <v>0</v>
      </c>
      <c r="H290" t="str">
        <f>_xlfn.IFNA(_xlfn.XLOOKUP(C290,'regije_občine 212'!$D$4:$D$215,'regije_občine 212'!$B$4:$B$215),"")</f>
        <v/>
      </c>
      <c r="I290" s="12" t="str">
        <f t="shared" si="4"/>
        <v/>
      </c>
    </row>
    <row r="291" spans="1:9" x14ac:dyDescent="0.3">
      <c r="A291">
        <v>477</v>
      </c>
      <c r="B291">
        <v>4274</v>
      </c>
      <c r="C291" t="s">
        <v>50</v>
      </c>
      <c r="D291" t="s">
        <v>6</v>
      </c>
      <c r="E291">
        <f>_xlfn.XLOOKUP(D291,Regije!B:B,Regije!A:A)</f>
        <v>9</v>
      </c>
      <c r="F291" t="b">
        <f>_xlfn.IFNA(_xlfn.XLOOKUP(C291,'regije_občine 212'!$D$4:$D$215,'regije_občine 212'!$D$4:$D$215)=C291,FALSE)</f>
        <v>1</v>
      </c>
      <c r="H291" t="str">
        <f>_xlfn.IFNA(_xlfn.XLOOKUP(C291,'regije_občine 212'!$D$4:$D$215,'regije_občine 212'!$B$4:$B$215),"")</f>
        <v>Gorenjska</v>
      </c>
      <c r="I291" s="12" t="str">
        <f t="shared" si="4"/>
        <v/>
      </c>
    </row>
    <row r="292" spans="1:9" x14ac:dyDescent="0.3">
      <c r="A292">
        <v>6</v>
      </c>
      <c r="B292">
        <v>4275</v>
      </c>
      <c r="C292" t="s">
        <v>5</v>
      </c>
      <c r="D292" t="s">
        <v>6</v>
      </c>
      <c r="E292">
        <f>_xlfn.XLOOKUP(D292,Regije!B:B,Regije!A:A)</f>
        <v>9</v>
      </c>
      <c r="F292" t="b">
        <f>_xlfn.IFNA(_xlfn.XLOOKUP(C292,'regije_občine 212'!$D$4:$D$215,'regije_občine 212'!$D$4:$D$215)=C292,FALSE)</f>
        <v>0</v>
      </c>
      <c r="H292" t="str">
        <f>_xlfn.IFNA(_xlfn.XLOOKUP(C292,'regije_občine 212'!$D$4:$D$215,'regije_občine 212'!$B$4:$B$215),"")</f>
        <v/>
      </c>
      <c r="I292" s="12" t="str">
        <f t="shared" si="4"/>
        <v/>
      </c>
    </row>
    <row r="293" spans="1:9" x14ac:dyDescent="0.3">
      <c r="A293">
        <v>119</v>
      </c>
      <c r="B293">
        <v>4276</v>
      </c>
      <c r="C293" t="s">
        <v>19</v>
      </c>
      <c r="D293" t="s">
        <v>6</v>
      </c>
      <c r="E293">
        <f>_xlfn.XLOOKUP(D293,Regije!B:B,Regije!A:A)</f>
        <v>9</v>
      </c>
      <c r="F293" t="b">
        <f>_xlfn.IFNA(_xlfn.XLOOKUP(C293,'regije_občine 212'!$D$4:$D$215,'regije_občine 212'!$D$4:$D$215)=C293,FALSE)</f>
        <v>0</v>
      </c>
      <c r="H293" t="str">
        <f>_xlfn.IFNA(_xlfn.XLOOKUP(C293,'regije_občine 212'!$D$4:$D$215,'regije_občine 212'!$B$4:$B$215),"")</f>
        <v/>
      </c>
      <c r="I293" s="12" t="str">
        <f t="shared" si="4"/>
        <v/>
      </c>
    </row>
    <row r="294" spans="1:9" x14ac:dyDescent="0.3">
      <c r="A294">
        <v>167</v>
      </c>
      <c r="B294">
        <v>4280</v>
      </c>
      <c r="C294" t="s">
        <v>24</v>
      </c>
      <c r="D294" t="s">
        <v>6</v>
      </c>
      <c r="E294">
        <f>_xlfn.XLOOKUP(D294,Regije!B:B,Regije!A:A)</f>
        <v>9</v>
      </c>
      <c r="F294" t="b">
        <f>_xlfn.IFNA(_xlfn.XLOOKUP(C294,'regije_občine 212'!$D$4:$D$215,'regije_občine 212'!$D$4:$D$215)=C294,FALSE)</f>
        <v>1</v>
      </c>
      <c r="H294" t="str">
        <f>_xlfn.IFNA(_xlfn.XLOOKUP(C294,'regije_občine 212'!$D$4:$D$215,'regije_občine 212'!$B$4:$B$215),"")</f>
        <v>Gorenjska</v>
      </c>
      <c r="I294" s="12" t="str">
        <f t="shared" si="4"/>
        <v/>
      </c>
    </row>
    <row r="295" spans="1:9" x14ac:dyDescent="0.3">
      <c r="A295">
        <v>235</v>
      </c>
      <c r="B295">
        <v>4281</v>
      </c>
      <c r="C295" t="s">
        <v>29</v>
      </c>
      <c r="D295" t="s">
        <v>6</v>
      </c>
      <c r="E295">
        <f>_xlfn.XLOOKUP(D295,Regije!B:B,Regije!A:A)</f>
        <v>9</v>
      </c>
      <c r="F295" t="b">
        <f>_xlfn.IFNA(_xlfn.XLOOKUP(C295,'regije_občine 212'!$D$4:$D$215,'regije_občine 212'!$D$4:$D$215)=C295,FALSE)</f>
        <v>0</v>
      </c>
      <c r="H295" t="str">
        <f>_xlfn.IFNA(_xlfn.XLOOKUP(C295,'regije_občine 212'!$D$4:$D$215,'regije_občine 212'!$B$4:$B$215),"")</f>
        <v/>
      </c>
      <c r="I295" s="12" t="str">
        <f t="shared" si="4"/>
        <v/>
      </c>
    </row>
    <row r="296" spans="1:9" x14ac:dyDescent="0.3">
      <c r="A296">
        <v>101</v>
      </c>
      <c r="B296">
        <v>4282</v>
      </c>
      <c r="C296" t="s">
        <v>18</v>
      </c>
      <c r="D296" t="s">
        <v>6</v>
      </c>
      <c r="E296">
        <f>_xlfn.XLOOKUP(D296,Regije!B:B,Regije!A:A)</f>
        <v>9</v>
      </c>
      <c r="F296" t="b">
        <f>_xlfn.IFNA(_xlfn.XLOOKUP(C296,'regije_občine 212'!$D$4:$D$215,'regije_občine 212'!$D$4:$D$215)=C296,FALSE)</f>
        <v>0</v>
      </c>
      <c r="H296" t="str">
        <f>_xlfn.IFNA(_xlfn.XLOOKUP(C296,'regije_občine 212'!$D$4:$D$215,'regije_občine 212'!$B$4:$B$215),"")</f>
        <v/>
      </c>
      <c r="I296" s="12" t="str">
        <f t="shared" si="4"/>
        <v/>
      </c>
    </row>
    <row r="297" spans="1:9" x14ac:dyDescent="0.3">
      <c r="A297">
        <v>320</v>
      </c>
      <c r="B297">
        <v>4283</v>
      </c>
      <c r="C297" t="s">
        <v>35</v>
      </c>
      <c r="D297" t="s">
        <v>6</v>
      </c>
      <c r="E297">
        <f>_xlfn.XLOOKUP(D297,Regije!B:B,Regije!A:A)</f>
        <v>9</v>
      </c>
      <c r="F297" t="b">
        <f>_xlfn.IFNA(_xlfn.XLOOKUP(C297,'regije_občine 212'!$D$4:$D$215,'regije_občine 212'!$D$4:$D$215)=C297,FALSE)</f>
        <v>0</v>
      </c>
      <c r="H297" t="str">
        <f>_xlfn.IFNA(_xlfn.XLOOKUP(C297,'regije_občine 212'!$D$4:$D$215,'regije_občine 212'!$B$4:$B$215),"")</f>
        <v/>
      </c>
      <c r="I297" s="12" t="str">
        <f t="shared" si="4"/>
        <v/>
      </c>
    </row>
    <row r="298" spans="1:9" x14ac:dyDescent="0.3">
      <c r="A298">
        <v>425</v>
      </c>
      <c r="B298">
        <v>4290</v>
      </c>
      <c r="C298" t="s">
        <v>42</v>
      </c>
      <c r="D298" t="s">
        <v>6</v>
      </c>
      <c r="E298">
        <f>_xlfn.XLOOKUP(D298,Regije!B:B,Regije!A:A)</f>
        <v>9</v>
      </c>
      <c r="F298" t="b">
        <f>_xlfn.IFNA(_xlfn.XLOOKUP(C298,'regije_občine 212'!$D$4:$D$215,'regije_občine 212'!$D$4:$D$215)=C298,FALSE)</f>
        <v>1</v>
      </c>
      <c r="H298" t="str">
        <f>_xlfn.IFNA(_xlfn.XLOOKUP(C298,'regije_občine 212'!$D$4:$D$215,'regije_občine 212'!$B$4:$B$215),"")</f>
        <v>Gorenjska</v>
      </c>
      <c r="I298" s="12" t="str">
        <f t="shared" si="4"/>
        <v/>
      </c>
    </row>
    <row r="299" spans="1:9" x14ac:dyDescent="0.3">
      <c r="A299">
        <v>169</v>
      </c>
      <c r="B299">
        <v>4294</v>
      </c>
      <c r="C299" t="s">
        <v>25</v>
      </c>
      <c r="D299" t="s">
        <v>6</v>
      </c>
      <c r="E299">
        <f>_xlfn.XLOOKUP(D299,Regije!B:B,Regije!A:A)</f>
        <v>9</v>
      </c>
      <c r="F299" t="b">
        <f>_xlfn.IFNA(_xlfn.XLOOKUP(C299,'regije_občine 212'!$D$4:$D$215,'regije_občine 212'!$D$4:$D$215)=C299,FALSE)</f>
        <v>0</v>
      </c>
      <c r="H299" t="str">
        <f>_xlfn.IFNA(_xlfn.XLOOKUP(C299,'regije_občine 212'!$D$4:$D$215,'regije_občine 212'!$B$4:$B$215),"")</f>
        <v/>
      </c>
      <c r="I299" s="12" t="str">
        <f t="shared" si="4"/>
        <v/>
      </c>
    </row>
    <row r="300" spans="1:9" x14ac:dyDescent="0.3">
      <c r="A300">
        <v>249</v>
      </c>
      <c r="B300">
        <v>5000</v>
      </c>
      <c r="C300" t="s">
        <v>77</v>
      </c>
      <c r="D300" t="s">
        <v>52</v>
      </c>
      <c r="E300">
        <f>_xlfn.XLOOKUP(D300,Regije!B:B,Regije!A:A)</f>
        <v>11</v>
      </c>
      <c r="F300" t="b">
        <f>_xlfn.IFNA(_xlfn.XLOOKUP(C300,'regije_občine 212'!$D$4:$D$215,'regije_občine 212'!$D$4:$D$215)=C300,FALSE)</f>
        <v>1</v>
      </c>
      <c r="H300" t="str">
        <f>_xlfn.IFNA(_xlfn.XLOOKUP(C300,'regije_občine 212'!$D$4:$D$215,'regije_občine 212'!$B$4:$B$215),"")</f>
        <v>Goriška</v>
      </c>
      <c r="I300" s="12" t="str">
        <f t="shared" si="4"/>
        <v/>
      </c>
    </row>
    <row r="301" spans="1:9" x14ac:dyDescent="0.3">
      <c r="A301">
        <v>250</v>
      </c>
      <c r="B301">
        <v>5001</v>
      </c>
      <c r="C301" t="s">
        <v>78</v>
      </c>
      <c r="D301" t="s">
        <v>52</v>
      </c>
      <c r="E301">
        <f>_xlfn.XLOOKUP(D301,Regije!B:B,Regije!A:A)</f>
        <v>11</v>
      </c>
      <c r="F301" t="b">
        <f>_xlfn.IFNA(_xlfn.XLOOKUP(C301,'regije_občine 212'!$D$4:$D$215,'regije_občine 212'!$D$4:$D$215)=C301,FALSE)</f>
        <v>0</v>
      </c>
      <c r="H301" t="str">
        <f>_xlfn.IFNA(_xlfn.XLOOKUP(C301,'regije_občine 212'!$D$4:$D$215,'regije_občine 212'!$B$4:$B$215),"")</f>
        <v/>
      </c>
      <c r="I301" s="12" t="str">
        <f t="shared" si="4"/>
        <v/>
      </c>
    </row>
    <row r="302" spans="1:9" x14ac:dyDescent="0.3">
      <c r="A302">
        <v>59</v>
      </c>
      <c r="B302">
        <v>5210</v>
      </c>
      <c r="C302" t="s">
        <v>61</v>
      </c>
      <c r="D302" t="s">
        <v>52</v>
      </c>
      <c r="E302">
        <f>_xlfn.XLOOKUP(D302,Regije!B:B,Regije!A:A)</f>
        <v>11</v>
      </c>
      <c r="F302" t="b">
        <f>_xlfn.IFNA(_xlfn.XLOOKUP(C302,'regije_občine 212'!$D$4:$D$215,'regije_občine 212'!$D$4:$D$215)=C302,FALSE)</f>
        <v>0</v>
      </c>
      <c r="H302" t="str">
        <f>_xlfn.IFNA(_xlfn.XLOOKUP(C302,'regije_občine 212'!$D$4:$D$215,'regije_občine 212'!$B$4:$B$215),"")</f>
        <v/>
      </c>
      <c r="I302" s="12" t="str">
        <f t="shared" si="4"/>
        <v/>
      </c>
    </row>
    <row r="303" spans="1:9" x14ac:dyDescent="0.3">
      <c r="A303">
        <v>152</v>
      </c>
      <c r="B303">
        <v>5211</v>
      </c>
      <c r="C303" t="s">
        <v>72</v>
      </c>
      <c r="D303" t="s">
        <v>52</v>
      </c>
      <c r="E303">
        <f>_xlfn.XLOOKUP(D303,Regije!B:B,Regije!A:A)</f>
        <v>11</v>
      </c>
      <c r="F303" t="b">
        <f>_xlfn.IFNA(_xlfn.XLOOKUP(C303,'regije_občine 212'!$D$4:$D$215,'regije_občine 212'!$D$4:$D$215)=C303,FALSE)</f>
        <v>0</v>
      </c>
      <c r="H303" t="str">
        <f>_xlfn.IFNA(_xlfn.XLOOKUP(C303,'regije_občine 212'!$D$4:$D$215,'regije_občine 212'!$B$4:$B$215),"")</f>
        <v/>
      </c>
      <c r="I303" s="12" t="str">
        <f t="shared" si="4"/>
        <v/>
      </c>
    </row>
    <row r="304" spans="1:9" x14ac:dyDescent="0.3">
      <c r="A304">
        <v>71</v>
      </c>
      <c r="B304">
        <v>5212</v>
      </c>
      <c r="C304" t="s">
        <v>63</v>
      </c>
      <c r="D304" t="s">
        <v>52</v>
      </c>
      <c r="E304">
        <f>_xlfn.XLOOKUP(D304,Regije!B:B,Regije!A:A)</f>
        <v>11</v>
      </c>
      <c r="F304" t="b">
        <f>_xlfn.IFNA(_xlfn.XLOOKUP(C304,'regije_občine 212'!$D$4:$D$215,'regije_občine 212'!$D$4:$D$215)=C304,FALSE)</f>
        <v>0</v>
      </c>
      <c r="H304" t="str">
        <f>_xlfn.IFNA(_xlfn.XLOOKUP(C304,'regije_občine 212'!$D$4:$D$215,'regije_občine 212'!$B$4:$B$215),"")</f>
        <v/>
      </c>
      <c r="I304" s="12" t="str">
        <f t="shared" si="4"/>
        <v/>
      </c>
    </row>
    <row r="305" spans="1:9" x14ac:dyDescent="0.3">
      <c r="A305">
        <v>141</v>
      </c>
      <c r="B305">
        <v>5213</v>
      </c>
      <c r="C305" t="s">
        <v>70</v>
      </c>
      <c r="D305" t="s">
        <v>52</v>
      </c>
      <c r="E305">
        <f>_xlfn.XLOOKUP(D305,Regije!B:B,Regije!A:A)</f>
        <v>11</v>
      </c>
      <c r="F305" t="b">
        <f>_xlfn.IFNA(_xlfn.XLOOKUP(C305,'regije_občine 212'!$D$4:$D$215,'regije_občine 212'!$D$4:$D$215)=C305,FALSE)</f>
        <v>1</v>
      </c>
      <c r="H305" t="str">
        <f>_xlfn.IFNA(_xlfn.XLOOKUP(C305,'regije_občine 212'!$D$4:$D$215,'regije_občine 212'!$B$4:$B$215),"")</f>
        <v>Goriška</v>
      </c>
      <c r="I305" s="12" t="str">
        <f t="shared" si="4"/>
        <v/>
      </c>
    </row>
    <row r="306" spans="1:9" x14ac:dyDescent="0.3">
      <c r="A306">
        <v>136</v>
      </c>
      <c r="B306">
        <v>5214</v>
      </c>
      <c r="C306" t="s">
        <v>69</v>
      </c>
      <c r="D306" t="s">
        <v>52</v>
      </c>
      <c r="E306">
        <f>_xlfn.XLOOKUP(D306,Regije!B:B,Regije!A:A)</f>
        <v>11</v>
      </c>
      <c r="F306" t="b">
        <f>_xlfn.IFNA(_xlfn.XLOOKUP(C306,'regije_občine 212'!$D$4:$D$215,'regije_občine 212'!$D$4:$D$215)=C306,FALSE)</f>
        <v>0</v>
      </c>
      <c r="H306" t="str">
        <f>_xlfn.IFNA(_xlfn.XLOOKUP(C306,'regije_občine 212'!$D$4:$D$215,'regije_občine 212'!$B$4:$B$215),"")</f>
        <v/>
      </c>
      <c r="I306" s="12" t="str">
        <f t="shared" si="4"/>
        <v/>
      </c>
    </row>
    <row r="307" spans="1:9" x14ac:dyDescent="0.3">
      <c r="A307">
        <v>329</v>
      </c>
      <c r="B307">
        <v>5215</v>
      </c>
      <c r="C307" t="s">
        <v>83</v>
      </c>
      <c r="D307" t="s">
        <v>52</v>
      </c>
      <c r="E307">
        <f>_xlfn.XLOOKUP(D307,Regije!B:B,Regije!A:A)</f>
        <v>11</v>
      </c>
      <c r="F307" t="b">
        <f>_xlfn.IFNA(_xlfn.XLOOKUP(C307,'regije_občine 212'!$D$4:$D$215,'regije_občine 212'!$D$4:$D$215)=C307,FALSE)</f>
        <v>0</v>
      </c>
      <c r="H307" t="str">
        <f>_xlfn.IFNA(_xlfn.XLOOKUP(C307,'regije_občine 212'!$D$4:$D$215,'regije_občine 212'!$B$4:$B$215),"")</f>
        <v/>
      </c>
      <c r="I307" s="12" t="str">
        <f t="shared" si="4"/>
        <v/>
      </c>
    </row>
    <row r="308" spans="1:9" x14ac:dyDescent="0.3">
      <c r="A308">
        <v>239</v>
      </c>
      <c r="B308">
        <v>5216</v>
      </c>
      <c r="C308" t="s">
        <v>76</v>
      </c>
      <c r="D308" t="s">
        <v>52</v>
      </c>
      <c r="E308">
        <f>_xlfn.XLOOKUP(D308,Regije!B:B,Regije!A:A)</f>
        <v>11</v>
      </c>
      <c r="F308" t="b">
        <f>_xlfn.IFNA(_xlfn.XLOOKUP(C308,'regije_občine 212'!$D$4:$D$215,'regije_občine 212'!$D$4:$D$215)=C308,FALSE)</f>
        <v>0</v>
      </c>
      <c r="H308" t="str">
        <f>_xlfn.IFNA(_xlfn.XLOOKUP(C308,'regije_občine 212'!$D$4:$D$215,'regije_občine 212'!$B$4:$B$215),"")</f>
        <v/>
      </c>
      <c r="I308" s="12" t="str">
        <f t="shared" si="4"/>
        <v/>
      </c>
    </row>
    <row r="309" spans="1:9" x14ac:dyDescent="0.3">
      <c r="A309">
        <v>415</v>
      </c>
      <c r="B309">
        <v>5220</v>
      </c>
      <c r="C309" t="s">
        <v>91</v>
      </c>
      <c r="D309" t="s">
        <v>52</v>
      </c>
      <c r="E309">
        <f>_xlfn.XLOOKUP(D309,Regije!B:B,Regije!A:A)</f>
        <v>11</v>
      </c>
      <c r="F309" t="b">
        <f>_xlfn.IFNA(_xlfn.XLOOKUP(C309,'regije_občine 212'!$D$4:$D$215,'regije_občine 212'!$D$4:$D$215)=C309,FALSE)</f>
        <v>1</v>
      </c>
      <c r="H309" t="str">
        <f>_xlfn.IFNA(_xlfn.XLOOKUP(C309,'regije_občine 212'!$D$4:$D$215,'regije_občine 212'!$B$4:$B$215),"")</f>
        <v>Goriška</v>
      </c>
      <c r="I309" s="12" t="str">
        <f t="shared" si="4"/>
        <v/>
      </c>
    </row>
    <row r="310" spans="1:9" x14ac:dyDescent="0.3">
      <c r="A310">
        <v>147</v>
      </c>
      <c r="B310">
        <v>5222</v>
      </c>
      <c r="C310" t="s">
        <v>71</v>
      </c>
      <c r="D310" t="s">
        <v>52</v>
      </c>
      <c r="E310">
        <f>_xlfn.XLOOKUP(D310,Regije!B:B,Regije!A:A)</f>
        <v>11</v>
      </c>
      <c r="F310" t="b">
        <f>_xlfn.IFNA(_xlfn.XLOOKUP(C310,'regije_občine 212'!$D$4:$D$215,'regije_občine 212'!$D$4:$D$215)=C310,FALSE)</f>
        <v>1</v>
      </c>
      <c r="H310" t="str">
        <f>_xlfn.IFNA(_xlfn.XLOOKUP(C310,'regije_občine 212'!$D$4:$D$215,'regije_občine 212'!$B$4:$B$215),"")</f>
        <v>Goriška</v>
      </c>
      <c r="I310" s="12" t="str">
        <f t="shared" si="4"/>
        <v/>
      </c>
    </row>
    <row r="311" spans="1:9" x14ac:dyDescent="0.3">
      <c r="A311">
        <v>27</v>
      </c>
      <c r="B311">
        <v>5223</v>
      </c>
      <c r="C311" t="s">
        <v>55</v>
      </c>
      <c r="D311" t="s">
        <v>52</v>
      </c>
      <c r="E311">
        <f>_xlfn.XLOOKUP(D311,Regije!B:B,Regije!A:A)</f>
        <v>11</v>
      </c>
      <c r="F311" t="b">
        <f>_xlfn.IFNA(_xlfn.XLOOKUP(C311,'regije_občine 212'!$D$4:$D$215,'regije_občine 212'!$D$4:$D$215)=C311,FALSE)</f>
        <v>0</v>
      </c>
      <c r="H311" t="str">
        <f>_xlfn.IFNA(_xlfn.XLOOKUP(C311,'regije_občine 212'!$D$4:$D$215,'regije_občine 212'!$B$4:$B$215),"")</f>
        <v/>
      </c>
      <c r="I311" s="12" t="str">
        <f t="shared" si="4"/>
        <v/>
      </c>
    </row>
    <row r="312" spans="1:9" x14ac:dyDescent="0.3">
      <c r="A312">
        <v>362</v>
      </c>
      <c r="B312">
        <v>5224</v>
      </c>
      <c r="C312" t="s">
        <v>88</v>
      </c>
      <c r="D312" t="s">
        <v>52</v>
      </c>
      <c r="E312">
        <f>_xlfn.XLOOKUP(D312,Regije!B:B,Regije!A:A)</f>
        <v>11</v>
      </c>
      <c r="F312" t="b">
        <f>_xlfn.IFNA(_xlfn.XLOOKUP(C312,'regije_občine 212'!$D$4:$D$215,'regije_občine 212'!$D$4:$D$215)=C312,FALSE)</f>
        <v>0</v>
      </c>
      <c r="H312" t="str">
        <f>_xlfn.IFNA(_xlfn.XLOOKUP(C312,'regije_občine 212'!$D$4:$D$215,'regije_občine 212'!$B$4:$B$215),"")</f>
        <v/>
      </c>
      <c r="I312" s="12" t="str">
        <f t="shared" si="4"/>
        <v/>
      </c>
    </row>
    <row r="313" spans="1:9" x14ac:dyDescent="0.3">
      <c r="A313">
        <v>24</v>
      </c>
      <c r="B313">
        <v>5230</v>
      </c>
      <c r="C313" t="s">
        <v>53</v>
      </c>
      <c r="D313" t="s">
        <v>52</v>
      </c>
      <c r="E313">
        <f>_xlfn.XLOOKUP(D313,Regije!B:B,Regije!A:A)</f>
        <v>11</v>
      </c>
      <c r="F313" t="b">
        <f>_xlfn.IFNA(_xlfn.XLOOKUP(C313,'regije_občine 212'!$D$4:$D$215,'regije_občine 212'!$D$4:$D$215)=C313,FALSE)</f>
        <v>1</v>
      </c>
      <c r="H313" t="str">
        <f>_xlfn.IFNA(_xlfn.XLOOKUP(C313,'regije_občine 212'!$D$4:$D$215,'regije_občine 212'!$B$4:$B$215),"")</f>
        <v>Goriška</v>
      </c>
      <c r="I313" s="12" t="str">
        <f t="shared" si="4"/>
        <v/>
      </c>
    </row>
    <row r="314" spans="1:9" x14ac:dyDescent="0.3">
      <c r="A314">
        <v>201</v>
      </c>
      <c r="B314">
        <v>5231</v>
      </c>
      <c r="C314" t="s">
        <v>74</v>
      </c>
      <c r="D314" t="s">
        <v>52</v>
      </c>
      <c r="E314">
        <f>_xlfn.XLOOKUP(D314,Regije!B:B,Regije!A:A)</f>
        <v>11</v>
      </c>
      <c r="F314" t="b">
        <f>_xlfn.IFNA(_xlfn.XLOOKUP(C314,'regije_občine 212'!$D$4:$D$215,'regije_občine 212'!$D$4:$D$215)=C314,FALSE)</f>
        <v>0</v>
      </c>
      <c r="H314" t="str">
        <f>_xlfn.IFNA(_xlfn.XLOOKUP(C314,'regije_občine 212'!$D$4:$D$215,'regije_občine 212'!$B$4:$B$215),"")</f>
        <v/>
      </c>
      <c r="I314" s="12" t="str">
        <f t="shared" si="4"/>
        <v/>
      </c>
    </row>
    <row r="315" spans="1:9" x14ac:dyDescent="0.3">
      <c r="A315">
        <v>350</v>
      </c>
      <c r="B315">
        <v>5232</v>
      </c>
      <c r="C315" t="s">
        <v>85</v>
      </c>
      <c r="D315" t="s">
        <v>52</v>
      </c>
      <c r="E315">
        <f>_xlfn.XLOOKUP(D315,Regije!B:B,Regije!A:A)</f>
        <v>11</v>
      </c>
      <c r="F315" t="b">
        <f>_xlfn.IFNA(_xlfn.XLOOKUP(C315,'regije_občine 212'!$D$4:$D$215,'regije_občine 212'!$D$4:$D$215)=C315,FALSE)</f>
        <v>0</v>
      </c>
      <c r="H315" t="str">
        <f>_xlfn.IFNA(_xlfn.XLOOKUP(C315,'regije_občine 212'!$D$4:$D$215,'regije_občine 212'!$B$4:$B$215),"")</f>
        <v/>
      </c>
      <c r="I315" s="12" t="str">
        <f t="shared" si="4"/>
        <v/>
      </c>
    </row>
    <row r="316" spans="1:9" x14ac:dyDescent="0.3">
      <c r="A316">
        <v>106</v>
      </c>
      <c r="B316">
        <v>5242</v>
      </c>
      <c r="C316" t="s">
        <v>66</v>
      </c>
      <c r="D316" t="s">
        <v>52</v>
      </c>
      <c r="E316">
        <f>_xlfn.XLOOKUP(D316,Regije!B:B,Regije!A:A)</f>
        <v>11</v>
      </c>
      <c r="F316" t="b">
        <f>_xlfn.IFNA(_xlfn.XLOOKUP(C316,'regije_občine 212'!$D$4:$D$215,'regije_občine 212'!$D$4:$D$215)=C316,FALSE)</f>
        <v>0</v>
      </c>
      <c r="H316" t="str">
        <f>_xlfn.IFNA(_xlfn.XLOOKUP(C316,'regije_občine 212'!$D$4:$D$215,'regije_občine 212'!$B$4:$B$215),"")</f>
        <v/>
      </c>
      <c r="I316" s="12" t="str">
        <f t="shared" si="4"/>
        <v/>
      </c>
    </row>
    <row r="317" spans="1:9" x14ac:dyDescent="0.3">
      <c r="A317">
        <v>274</v>
      </c>
      <c r="B317">
        <v>5243</v>
      </c>
      <c r="C317" t="s">
        <v>79</v>
      </c>
      <c r="D317" t="s">
        <v>52</v>
      </c>
      <c r="E317">
        <f>_xlfn.XLOOKUP(D317,Regije!B:B,Regije!A:A)</f>
        <v>11</v>
      </c>
      <c r="F317" t="b">
        <f>_xlfn.IFNA(_xlfn.XLOOKUP(C317,'regije_občine 212'!$D$4:$D$215,'regije_občine 212'!$D$4:$D$215)=C317,FALSE)</f>
        <v>0</v>
      </c>
      <c r="H317" t="str">
        <f>_xlfn.IFNA(_xlfn.XLOOKUP(C317,'regije_občine 212'!$D$4:$D$215,'regije_občine 212'!$B$4:$B$215),"")</f>
        <v/>
      </c>
      <c r="I317" s="12" t="str">
        <f t="shared" si="4"/>
        <v/>
      </c>
    </row>
    <row r="318" spans="1:9" x14ac:dyDescent="0.3">
      <c r="A318">
        <v>353</v>
      </c>
      <c r="B318">
        <v>5250</v>
      </c>
      <c r="C318" t="s">
        <v>86</v>
      </c>
      <c r="D318" t="s">
        <v>52</v>
      </c>
      <c r="E318">
        <f>_xlfn.XLOOKUP(D318,Regije!B:B,Regije!A:A)</f>
        <v>11</v>
      </c>
      <c r="F318" t="b">
        <f>_xlfn.IFNA(_xlfn.XLOOKUP(C318,'regije_občine 212'!$D$4:$D$215,'regije_občine 212'!$D$4:$D$215)=C318,FALSE)</f>
        <v>0</v>
      </c>
      <c r="H318" t="str">
        <f>_xlfn.IFNA(_xlfn.XLOOKUP(C318,'regije_občine 212'!$D$4:$D$215,'regije_občine 212'!$B$4:$B$215),"")</f>
        <v/>
      </c>
      <c r="I318" s="12" t="str">
        <f t="shared" si="4"/>
        <v/>
      </c>
    </row>
    <row r="319" spans="1:9" x14ac:dyDescent="0.3">
      <c r="A319">
        <v>107</v>
      </c>
      <c r="B319">
        <v>5251</v>
      </c>
      <c r="C319" t="s">
        <v>67</v>
      </c>
      <c r="D319" t="s">
        <v>52</v>
      </c>
      <c r="E319">
        <f>_xlfn.XLOOKUP(D319,Regije!B:B,Regije!A:A)</f>
        <v>11</v>
      </c>
      <c r="F319" t="b">
        <f>_xlfn.IFNA(_xlfn.XLOOKUP(C319,'regije_občine 212'!$D$4:$D$215,'regije_občine 212'!$D$4:$D$215)=C319,FALSE)</f>
        <v>0</v>
      </c>
      <c r="H319" t="str">
        <f>_xlfn.IFNA(_xlfn.XLOOKUP(C319,'regije_občine 212'!$D$4:$D$215,'regije_občine 212'!$B$4:$B$215),"")</f>
        <v/>
      </c>
      <c r="I319" s="12" t="str">
        <f t="shared" si="4"/>
        <v/>
      </c>
    </row>
    <row r="320" spans="1:9" x14ac:dyDescent="0.3">
      <c r="A320">
        <v>421</v>
      </c>
      <c r="B320">
        <v>5252</v>
      </c>
      <c r="C320" t="s">
        <v>92</v>
      </c>
      <c r="D320" t="s">
        <v>52</v>
      </c>
      <c r="E320">
        <f>_xlfn.XLOOKUP(D320,Regije!B:B,Regije!A:A)</f>
        <v>11</v>
      </c>
      <c r="F320" t="b">
        <f>_xlfn.IFNA(_xlfn.XLOOKUP(C320,'regije_občine 212'!$D$4:$D$215,'regije_občine 212'!$D$4:$D$215)=C320,FALSE)</f>
        <v>0</v>
      </c>
      <c r="H320" t="str">
        <f>_xlfn.IFNA(_xlfn.XLOOKUP(C320,'regije_občine 212'!$D$4:$D$215,'regije_občine 212'!$B$4:$B$215),"")</f>
        <v/>
      </c>
      <c r="I320" s="12" t="str">
        <f t="shared" si="4"/>
        <v/>
      </c>
    </row>
    <row r="321" spans="1:9" x14ac:dyDescent="0.3">
      <c r="A321">
        <v>51</v>
      </c>
      <c r="B321">
        <v>5253</v>
      </c>
      <c r="C321" t="s">
        <v>58</v>
      </c>
      <c r="D321" t="s">
        <v>52</v>
      </c>
      <c r="E321">
        <f>_xlfn.XLOOKUP(D321,Regije!B:B,Regije!A:A)</f>
        <v>11</v>
      </c>
      <c r="F321" t="b">
        <f>_xlfn.IFNA(_xlfn.XLOOKUP(C321,'regije_občine 212'!$D$4:$D$215,'regije_občine 212'!$D$4:$D$215)=C321,FALSE)</f>
        <v>0</v>
      </c>
      <c r="H321" t="str">
        <f>_xlfn.IFNA(_xlfn.XLOOKUP(C321,'regije_občine 212'!$D$4:$D$215,'regije_občine 212'!$B$4:$B$215),"")</f>
        <v/>
      </c>
      <c r="I321" s="12" t="str">
        <f t="shared" si="4"/>
        <v/>
      </c>
    </row>
    <row r="322" spans="1:9" x14ac:dyDescent="0.3">
      <c r="A322">
        <v>382</v>
      </c>
      <c r="B322">
        <v>5261</v>
      </c>
      <c r="C322" t="s">
        <v>89</v>
      </c>
      <c r="D322" t="s">
        <v>52</v>
      </c>
      <c r="E322">
        <f>_xlfn.XLOOKUP(D322,Regije!B:B,Regije!A:A)</f>
        <v>11</v>
      </c>
      <c r="F322" t="b">
        <f>_xlfn.IFNA(_xlfn.XLOOKUP(C322,'regije_občine 212'!$D$4:$D$215,'regije_občine 212'!$D$4:$D$215)=C322,FALSE)</f>
        <v>0</v>
      </c>
      <c r="H322" t="str">
        <f>_xlfn.IFNA(_xlfn.XLOOKUP(C322,'regije_občine 212'!$D$4:$D$215,'regije_občine 212'!$B$4:$B$215),"")</f>
        <v/>
      </c>
      <c r="I322" s="12" t="str">
        <f t="shared" si="4"/>
        <v/>
      </c>
    </row>
    <row r="323" spans="1:9" x14ac:dyDescent="0.3">
      <c r="A323">
        <v>56</v>
      </c>
      <c r="B323">
        <v>5262</v>
      </c>
      <c r="C323" t="s">
        <v>60</v>
      </c>
      <c r="D323" t="s">
        <v>52</v>
      </c>
      <c r="E323">
        <f>_xlfn.XLOOKUP(D323,Regije!B:B,Regije!A:A)</f>
        <v>11</v>
      </c>
      <c r="F323" t="b">
        <f>_xlfn.IFNA(_xlfn.XLOOKUP(C323,'regije_občine 212'!$D$4:$D$215,'regije_občine 212'!$D$4:$D$215)=C323,FALSE)</f>
        <v>0</v>
      </c>
      <c r="H323" t="str">
        <f>_xlfn.IFNA(_xlfn.XLOOKUP(C323,'regije_občine 212'!$D$4:$D$215,'regije_občine 212'!$B$4:$B$215),"")</f>
        <v/>
      </c>
      <c r="I323" s="12" t="str">
        <f t="shared" ref="I323:I386" si="5">IF(AND(H323&lt;&gt;"",H323&lt;&gt;D323),"drugačna regija!","")</f>
        <v/>
      </c>
    </row>
    <row r="324" spans="1:9" x14ac:dyDescent="0.3">
      <c r="A324">
        <v>66</v>
      </c>
      <c r="B324">
        <v>5263</v>
      </c>
      <c r="C324" t="s">
        <v>62</v>
      </c>
      <c r="D324" t="s">
        <v>52</v>
      </c>
      <c r="E324">
        <f>_xlfn.XLOOKUP(D324,Regije!B:B,Regije!A:A)</f>
        <v>11</v>
      </c>
      <c r="F324" t="b">
        <f>_xlfn.IFNA(_xlfn.XLOOKUP(C324,'regije_občine 212'!$D$4:$D$215,'regije_občine 212'!$D$4:$D$215)=C324,FALSE)</f>
        <v>0</v>
      </c>
      <c r="H324" t="str">
        <f>_xlfn.IFNA(_xlfn.XLOOKUP(C324,'regije_občine 212'!$D$4:$D$215,'regije_občine 212'!$B$4:$B$215),"")</f>
        <v/>
      </c>
      <c r="I324" s="12" t="str">
        <f t="shared" si="5"/>
        <v/>
      </c>
    </row>
    <row r="325" spans="1:9" x14ac:dyDescent="0.3">
      <c r="A325">
        <v>2</v>
      </c>
      <c r="B325">
        <v>5270</v>
      </c>
      <c r="C325" t="s">
        <v>51</v>
      </c>
      <c r="D325" t="s">
        <v>52</v>
      </c>
      <c r="E325">
        <f>_xlfn.XLOOKUP(D325,Regije!B:B,Regije!A:A)</f>
        <v>11</v>
      </c>
      <c r="F325" t="b">
        <f>_xlfn.IFNA(_xlfn.XLOOKUP(C325,'regije_občine 212'!$D$4:$D$215,'regije_občine 212'!$D$4:$D$215)=C325,FALSE)</f>
        <v>1</v>
      </c>
      <c r="H325" t="str">
        <f>_xlfn.IFNA(_xlfn.XLOOKUP(C325,'regije_občine 212'!$D$4:$D$215,'regije_občine 212'!$B$4:$B$215),"")</f>
        <v>Goriška</v>
      </c>
      <c r="I325" s="12" t="str">
        <f t="shared" si="5"/>
        <v/>
      </c>
    </row>
    <row r="326" spans="1:9" x14ac:dyDescent="0.3">
      <c r="A326">
        <v>442</v>
      </c>
      <c r="B326">
        <v>5271</v>
      </c>
      <c r="C326" t="s">
        <v>93</v>
      </c>
      <c r="D326" t="s">
        <v>52</v>
      </c>
      <c r="E326">
        <f>_xlfn.XLOOKUP(D326,Regije!B:B,Regije!A:A)</f>
        <v>11</v>
      </c>
      <c r="F326" t="b">
        <f>_xlfn.IFNA(_xlfn.XLOOKUP(C326,'regije_občine 212'!$D$4:$D$215,'regije_občine 212'!$D$4:$D$215)=C326,FALSE)</f>
        <v>1</v>
      </c>
      <c r="H326" t="str">
        <f>_xlfn.IFNA(_xlfn.XLOOKUP(C326,'regije_občine 212'!$D$4:$D$215,'regije_občine 212'!$B$4:$B$215),"")</f>
        <v>Goriška</v>
      </c>
      <c r="I326" s="12" t="str">
        <f t="shared" si="5"/>
        <v/>
      </c>
    </row>
    <row r="327" spans="1:9" x14ac:dyDescent="0.3">
      <c r="A327">
        <v>282</v>
      </c>
      <c r="B327">
        <v>5272</v>
      </c>
      <c r="C327" t="s">
        <v>80</v>
      </c>
      <c r="D327" t="s">
        <v>52</v>
      </c>
      <c r="E327">
        <f>_xlfn.XLOOKUP(D327,Regije!B:B,Regije!A:A)</f>
        <v>11</v>
      </c>
      <c r="F327" t="b">
        <f>_xlfn.IFNA(_xlfn.XLOOKUP(C327,'regije_občine 212'!$D$4:$D$215,'regije_občine 212'!$D$4:$D$215)=C327,FALSE)</f>
        <v>0</v>
      </c>
      <c r="H327" t="str">
        <f>_xlfn.IFNA(_xlfn.XLOOKUP(C327,'regije_občine 212'!$D$4:$D$215,'regije_občine 212'!$B$4:$B$215),"")</f>
        <v/>
      </c>
      <c r="I327" s="12" t="str">
        <f t="shared" si="5"/>
        <v/>
      </c>
    </row>
    <row r="328" spans="1:9" x14ac:dyDescent="0.3">
      <c r="A328">
        <v>48</v>
      </c>
      <c r="B328">
        <v>5273</v>
      </c>
      <c r="C328" t="s">
        <v>57</v>
      </c>
      <c r="D328" t="s">
        <v>52</v>
      </c>
      <c r="E328">
        <f>_xlfn.XLOOKUP(D328,Regije!B:B,Regije!A:A)</f>
        <v>11</v>
      </c>
      <c r="F328" t="b">
        <f>_xlfn.IFNA(_xlfn.XLOOKUP(C328,'regije_občine 212'!$D$4:$D$215,'regije_občine 212'!$D$4:$D$215)=C328,FALSE)</f>
        <v>0</v>
      </c>
      <c r="H328" t="str">
        <f>_xlfn.IFNA(_xlfn.XLOOKUP(C328,'regije_občine 212'!$D$4:$D$215,'regije_občine 212'!$B$4:$B$215),"")</f>
        <v/>
      </c>
      <c r="I328" s="12" t="str">
        <f t="shared" si="5"/>
        <v/>
      </c>
    </row>
    <row r="329" spans="1:9" x14ac:dyDescent="0.3">
      <c r="A329">
        <v>55</v>
      </c>
      <c r="B329">
        <v>5274</v>
      </c>
      <c r="C329" t="s">
        <v>59</v>
      </c>
      <c r="D329" t="s">
        <v>52</v>
      </c>
      <c r="E329">
        <f>_xlfn.XLOOKUP(D329,Regije!B:B,Regije!A:A)</f>
        <v>11</v>
      </c>
      <c r="F329" t="b">
        <f>_xlfn.IFNA(_xlfn.XLOOKUP(C329,'regije_občine 212'!$D$4:$D$215,'regije_občine 212'!$D$4:$D$215)=C329,FALSE)</f>
        <v>0</v>
      </c>
      <c r="H329" t="str">
        <f>_xlfn.IFNA(_xlfn.XLOOKUP(C329,'regije_občine 212'!$D$4:$D$215,'regije_občine 212'!$B$4:$B$215),"")</f>
        <v/>
      </c>
      <c r="I329" s="12" t="str">
        <f t="shared" si="5"/>
        <v/>
      </c>
    </row>
    <row r="330" spans="1:9" x14ac:dyDescent="0.3">
      <c r="A330">
        <v>93</v>
      </c>
      <c r="B330">
        <v>5275</v>
      </c>
      <c r="C330" t="s">
        <v>65</v>
      </c>
      <c r="D330" t="s">
        <v>52</v>
      </c>
      <c r="E330">
        <f>_xlfn.XLOOKUP(D330,Regije!B:B,Regije!A:A)</f>
        <v>11</v>
      </c>
      <c r="F330" t="b">
        <f>_xlfn.IFNA(_xlfn.XLOOKUP(C330,'regije_občine 212'!$D$4:$D$215,'regije_občine 212'!$D$4:$D$215)=C330,FALSE)</f>
        <v>0</v>
      </c>
      <c r="H330" t="str">
        <f>_xlfn.IFNA(_xlfn.XLOOKUP(C330,'regije_občine 212'!$D$4:$D$215,'regije_občine 212'!$B$4:$B$215),"")</f>
        <v/>
      </c>
      <c r="I330" s="12" t="str">
        <f t="shared" si="5"/>
        <v/>
      </c>
    </row>
    <row r="331" spans="1:9" x14ac:dyDescent="0.3">
      <c r="A331">
        <v>120</v>
      </c>
      <c r="B331">
        <v>5280</v>
      </c>
      <c r="C331" t="s">
        <v>68</v>
      </c>
      <c r="D331" t="s">
        <v>52</v>
      </c>
      <c r="E331">
        <f>_xlfn.XLOOKUP(D331,Regije!B:B,Regije!A:A)</f>
        <v>11</v>
      </c>
      <c r="F331" t="b">
        <f>_xlfn.IFNA(_xlfn.XLOOKUP(C331,'regije_občine 212'!$D$4:$D$215,'regije_občine 212'!$D$4:$D$215)=C331,FALSE)</f>
        <v>1</v>
      </c>
      <c r="H331" t="str">
        <f>_xlfn.IFNA(_xlfn.XLOOKUP(C331,'regije_občine 212'!$D$4:$D$215,'regije_občine 212'!$B$4:$B$215),"")</f>
        <v>Goriška</v>
      </c>
      <c r="I331" s="12" t="str">
        <f t="shared" si="5"/>
        <v/>
      </c>
    </row>
    <row r="332" spans="1:9" x14ac:dyDescent="0.3">
      <c r="A332">
        <v>356</v>
      </c>
      <c r="B332">
        <v>5281</v>
      </c>
      <c r="C332" t="s">
        <v>87</v>
      </c>
      <c r="D332" t="s">
        <v>52</v>
      </c>
      <c r="E332">
        <f>_xlfn.XLOOKUP(D332,Regije!B:B,Regije!A:A)</f>
        <v>11</v>
      </c>
      <c r="F332" t="b">
        <f>_xlfn.IFNA(_xlfn.XLOOKUP(C332,'regije_občine 212'!$D$4:$D$215,'regije_občine 212'!$D$4:$D$215)=C332,FALSE)</f>
        <v>0</v>
      </c>
      <c r="H332" t="str">
        <f>_xlfn.IFNA(_xlfn.XLOOKUP(C332,'regije_občine 212'!$D$4:$D$215,'regije_občine 212'!$B$4:$B$215),"")</f>
        <v/>
      </c>
      <c r="I332" s="12" t="str">
        <f t="shared" si="5"/>
        <v/>
      </c>
    </row>
    <row r="333" spans="1:9" x14ac:dyDescent="0.3">
      <c r="A333">
        <v>43</v>
      </c>
      <c r="B333">
        <v>5282</v>
      </c>
      <c r="C333" t="s">
        <v>56</v>
      </c>
      <c r="D333" t="s">
        <v>52</v>
      </c>
      <c r="E333">
        <f>_xlfn.XLOOKUP(D333,Regije!B:B,Regije!A:A)</f>
        <v>11</v>
      </c>
      <c r="F333" t="b">
        <f>_xlfn.IFNA(_xlfn.XLOOKUP(C333,'regije_občine 212'!$D$4:$D$215,'regije_občine 212'!$D$4:$D$215)=C333,FALSE)</f>
        <v>1</v>
      </c>
      <c r="H333" t="str">
        <f>_xlfn.IFNA(_xlfn.XLOOKUP(C333,'regije_občine 212'!$D$4:$D$215,'regije_občine 212'!$B$4:$B$215),"")</f>
        <v>Goriška</v>
      </c>
      <c r="I333" s="12" t="str">
        <f t="shared" si="5"/>
        <v/>
      </c>
    </row>
    <row r="334" spans="1:9" x14ac:dyDescent="0.3">
      <c r="A334">
        <v>345</v>
      </c>
      <c r="B334">
        <v>5283</v>
      </c>
      <c r="C334" t="s">
        <v>84</v>
      </c>
      <c r="D334" t="s">
        <v>52</v>
      </c>
      <c r="E334">
        <f>_xlfn.XLOOKUP(D334,Regije!B:B,Regije!A:A)</f>
        <v>11</v>
      </c>
      <c r="F334" t="b">
        <f>_xlfn.IFNA(_xlfn.XLOOKUP(C334,'regije_občine 212'!$D$4:$D$215,'regije_občine 212'!$D$4:$D$215)=C334,FALSE)</f>
        <v>0</v>
      </c>
      <c r="H334" t="str">
        <f>_xlfn.IFNA(_xlfn.XLOOKUP(C334,'regije_občine 212'!$D$4:$D$215,'regije_občine 212'!$B$4:$B$215),"")</f>
        <v/>
      </c>
      <c r="I334" s="12" t="str">
        <f t="shared" si="5"/>
        <v/>
      </c>
    </row>
    <row r="335" spans="1:9" x14ac:dyDescent="0.3">
      <c r="A335">
        <v>383</v>
      </c>
      <c r="B335">
        <v>5290</v>
      </c>
      <c r="C335" t="s">
        <v>90</v>
      </c>
      <c r="D335" t="s">
        <v>52</v>
      </c>
      <c r="E335">
        <f>_xlfn.XLOOKUP(D335,Regije!B:B,Regije!A:A)</f>
        <v>11</v>
      </c>
      <c r="F335" t="b">
        <f>_xlfn.IFNA(_xlfn.XLOOKUP(C335,'regije_občine 212'!$D$4:$D$215,'regije_občine 212'!$D$4:$D$215)=C335,FALSE)</f>
        <v>0</v>
      </c>
      <c r="H335" t="str">
        <f>_xlfn.IFNA(_xlfn.XLOOKUP(C335,'regije_občine 212'!$D$4:$D$215,'regije_občine 212'!$B$4:$B$215),"")</f>
        <v/>
      </c>
      <c r="I335" s="12" t="str">
        <f t="shared" si="5"/>
        <v/>
      </c>
    </row>
    <row r="336" spans="1:9" x14ac:dyDescent="0.3">
      <c r="A336">
        <v>231</v>
      </c>
      <c r="B336">
        <v>5291</v>
      </c>
      <c r="C336" t="s">
        <v>75</v>
      </c>
      <c r="D336" t="s">
        <v>52</v>
      </c>
      <c r="E336">
        <f>_xlfn.XLOOKUP(D336,Regije!B:B,Regije!A:A)</f>
        <v>11</v>
      </c>
      <c r="F336" t="b">
        <f>_xlfn.IFNA(_xlfn.XLOOKUP(C336,'regije_občine 212'!$D$4:$D$215,'regije_občine 212'!$D$4:$D$215)=C336,FALSE)</f>
        <v>0</v>
      </c>
      <c r="H336" t="str">
        <f>_xlfn.IFNA(_xlfn.XLOOKUP(C336,'regije_občine 212'!$D$4:$D$215,'regije_občine 212'!$B$4:$B$215),"")</f>
        <v/>
      </c>
      <c r="I336" s="12" t="str">
        <f t="shared" si="5"/>
        <v/>
      </c>
    </row>
    <row r="337" spans="1:9" x14ac:dyDescent="0.3">
      <c r="A337">
        <v>324</v>
      </c>
      <c r="B337">
        <v>5292</v>
      </c>
      <c r="C337" t="s">
        <v>82</v>
      </c>
      <c r="D337" t="s">
        <v>52</v>
      </c>
      <c r="E337">
        <f>_xlfn.XLOOKUP(D337,Regije!B:B,Regije!A:A)</f>
        <v>11</v>
      </c>
      <c r="F337" t="b">
        <f>_xlfn.IFNA(_xlfn.XLOOKUP(C337,'regije_občine 212'!$D$4:$D$215,'regije_občine 212'!$D$4:$D$215)=C337,FALSE)</f>
        <v>0</v>
      </c>
      <c r="H337" t="str">
        <f>_xlfn.IFNA(_xlfn.XLOOKUP(C337,'regije_občine 212'!$D$4:$D$215,'regije_občine 212'!$B$4:$B$215),"")</f>
        <v/>
      </c>
      <c r="I337" s="12" t="str">
        <f t="shared" si="5"/>
        <v/>
      </c>
    </row>
    <row r="338" spans="1:9" x14ac:dyDescent="0.3">
      <c r="A338">
        <v>449</v>
      </c>
      <c r="B338">
        <v>5293</v>
      </c>
      <c r="C338" t="s">
        <v>94</v>
      </c>
      <c r="D338" t="s">
        <v>52</v>
      </c>
      <c r="E338">
        <f>_xlfn.XLOOKUP(D338,Regije!B:B,Regije!A:A)</f>
        <v>11</v>
      </c>
      <c r="F338" t="b">
        <f>_xlfn.IFNA(_xlfn.XLOOKUP(C338,'regije_občine 212'!$D$4:$D$215,'regije_občine 212'!$D$4:$D$215)=C338,FALSE)</f>
        <v>0</v>
      </c>
      <c r="H338" t="str">
        <f>_xlfn.IFNA(_xlfn.XLOOKUP(C338,'regije_občine 212'!$D$4:$D$215,'regije_občine 212'!$B$4:$B$215),"")</f>
        <v/>
      </c>
      <c r="I338" s="12" t="str">
        <f t="shared" si="5"/>
        <v/>
      </c>
    </row>
    <row r="339" spans="1:9" x14ac:dyDescent="0.3">
      <c r="A339">
        <v>79</v>
      </c>
      <c r="B339">
        <v>5294</v>
      </c>
      <c r="C339" t="s">
        <v>64</v>
      </c>
      <c r="D339" t="s">
        <v>52</v>
      </c>
      <c r="E339">
        <f>_xlfn.XLOOKUP(D339,Regije!B:B,Regije!A:A)</f>
        <v>11</v>
      </c>
      <c r="F339" t="b">
        <f>_xlfn.IFNA(_xlfn.XLOOKUP(C339,'regije_občine 212'!$D$4:$D$215,'regije_občine 212'!$D$4:$D$215)=C339,FALSE)</f>
        <v>0</v>
      </c>
      <c r="H339" t="str">
        <f>_xlfn.IFNA(_xlfn.XLOOKUP(C339,'regije_občine 212'!$D$4:$D$215,'regije_občine 212'!$B$4:$B$215),"")</f>
        <v/>
      </c>
      <c r="I339" s="12" t="str">
        <f t="shared" si="5"/>
        <v/>
      </c>
    </row>
    <row r="340" spans="1:9" x14ac:dyDescent="0.3">
      <c r="A340">
        <v>25</v>
      </c>
      <c r="B340">
        <v>5295</v>
      </c>
      <c r="C340" t="s">
        <v>54</v>
      </c>
      <c r="D340" t="s">
        <v>52</v>
      </c>
      <c r="E340">
        <f>_xlfn.XLOOKUP(D340,Regije!B:B,Regije!A:A)</f>
        <v>11</v>
      </c>
      <c r="F340" t="b">
        <f>_xlfn.IFNA(_xlfn.XLOOKUP(C340,'regije_občine 212'!$D$4:$D$215,'regije_občine 212'!$D$4:$D$215)=C340,FALSE)</f>
        <v>0</v>
      </c>
      <c r="H340" t="str">
        <f>_xlfn.IFNA(_xlfn.XLOOKUP(C340,'regije_občine 212'!$D$4:$D$215,'regije_občine 212'!$B$4:$B$215),"")</f>
        <v/>
      </c>
      <c r="I340" s="12" t="str">
        <f t="shared" si="5"/>
        <v/>
      </c>
    </row>
    <row r="341" spans="1:9" x14ac:dyDescent="0.3">
      <c r="A341">
        <v>158</v>
      </c>
      <c r="B341">
        <v>5296</v>
      </c>
      <c r="C341" t="s">
        <v>73</v>
      </c>
      <c r="D341" t="s">
        <v>52</v>
      </c>
      <c r="E341">
        <f>_xlfn.XLOOKUP(D341,Regije!B:B,Regije!A:A)</f>
        <v>11</v>
      </c>
      <c r="F341" t="b">
        <f>_xlfn.IFNA(_xlfn.XLOOKUP(C341,'regije_občine 212'!$D$4:$D$215,'regije_občine 212'!$D$4:$D$215)=C341,FALSE)</f>
        <v>0</v>
      </c>
      <c r="H341" t="str">
        <f>_xlfn.IFNA(_xlfn.XLOOKUP(C341,'regije_občine 212'!$D$4:$D$215,'regije_občine 212'!$B$4:$B$215),"")</f>
        <v/>
      </c>
      <c r="I341" s="12" t="str">
        <f t="shared" si="5"/>
        <v/>
      </c>
    </row>
    <row r="342" spans="1:9" x14ac:dyDescent="0.3">
      <c r="A342">
        <v>308</v>
      </c>
      <c r="B342">
        <v>5297</v>
      </c>
      <c r="C342" t="s">
        <v>81</v>
      </c>
      <c r="D342" t="s">
        <v>52</v>
      </c>
      <c r="E342">
        <f>_xlfn.XLOOKUP(D342,Regije!B:B,Regije!A:A)</f>
        <v>11</v>
      </c>
      <c r="F342" t="b">
        <f>_xlfn.IFNA(_xlfn.XLOOKUP(C342,'regije_občine 212'!$D$4:$D$215,'regije_občine 212'!$D$4:$D$215)=C342,FALSE)</f>
        <v>0</v>
      </c>
      <c r="H342" t="str">
        <f>_xlfn.IFNA(_xlfn.XLOOKUP(C342,'regije_občine 212'!$D$4:$D$215,'regije_občine 212'!$B$4:$B$215),"")</f>
        <v/>
      </c>
      <c r="I342" s="12" t="str">
        <f t="shared" si="5"/>
        <v/>
      </c>
    </row>
    <row r="343" spans="1:9" x14ac:dyDescent="0.3">
      <c r="A343">
        <v>155</v>
      </c>
      <c r="B343">
        <v>6000</v>
      </c>
      <c r="C343" t="s">
        <v>171</v>
      </c>
      <c r="D343" t="s">
        <v>163</v>
      </c>
      <c r="E343">
        <f>_xlfn.XLOOKUP(D343,Regije!B:B,Regije!A:A)</f>
        <v>12</v>
      </c>
      <c r="F343" t="b">
        <f>_xlfn.IFNA(_xlfn.XLOOKUP(C343,'regije_občine 212'!$D$4:$D$215,'regije_občine 212'!$D$4:$D$215)=C343,FALSE)</f>
        <v>0</v>
      </c>
      <c r="H343" t="str">
        <f>_xlfn.IFNA(_xlfn.XLOOKUP(C343,'regije_občine 212'!$D$4:$D$215,'regije_občine 212'!$B$4:$B$215),"")</f>
        <v/>
      </c>
      <c r="I343" s="12" t="str">
        <f t="shared" si="5"/>
        <v/>
      </c>
    </row>
    <row r="344" spans="1:9" x14ac:dyDescent="0.3">
      <c r="A344">
        <v>156</v>
      </c>
      <c r="B344">
        <v>6001</v>
      </c>
      <c r="C344" t="s">
        <v>172</v>
      </c>
      <c r="D344" t="s">
        <v>163</v>
      </c>
      <c r="E344">
        <f>_xlfn.XLOOKUP(D344,Regije!B:B,Regije!A:A)</f>
        <v>12</v>
      </c>
      <c r="F344" t="b">
        <f>_xlfn.IFNA(_xlfn.XLOOKUP(C344,'regije_občine 212'!$D$4:$D$215,'regije_občine 212'!$D$4:$D$215)=C344,FALSE)</f>
        <v>0</v>
      </c>
      <c r="H344" t="str">
        <f>_xlfn.IFNA(_xlfn.XLOOKUP(C344,'regije_občine 212'!$D$4:$D$215,'regije_občine 212'!$B$4:$B$215),"")</f>
        <v/>
      </c>
      <c r="I344" s="12" t="str">
        <f t="shared" si="5"/>
        <v/>
      </c>
    </row>
    <row r="345" spans="1:9" x14ac:dyDescent="0.3">
      <c r="A345">
        <v>343</v>
      </c>
      <c r="B345">
        <v>6210</v>
      </c>
      <c r="C345" t="s">
        <v>185</v>
      </c>
      <c r="D345" t="s">
        <v>163</v>
      </c>
      <c r="E345">
        <f>_xlfn.XLOOKUP(D345,Regije!B:B,Regije!A:A)</f>
        <v>12</v>
      </c>
      <c r="F345" t="b">
        <f>_xlfn.IFNA(_xlfn.XLOOKUP(C345,'regije_občine 212'!$D$4:$D$215,'regije_občine 212'!$D$4:$D$215)=C345,FALSE)</f>
        <v>1</v>
      </c>
      <c r="H345" t="str">
        <f>_xlfn.IFNA(_xlfn.XLOOKUP(C345,'regije_občine 212'!$D$4:$D$215,'regije_občine 212'!$B$4:$B$215),"")</f>
        <v>Obalno-kraška</v>
      </c>
      <c r="I345" s="12" t="str">
        <f t="shared" si="5"/>
        <v/>
      </c>
    </row>
    <row r="346" spans="1:9" x14ac:dyDescent="0.3">
      <c r="A346">
        <v>61</v>
      </c>
      <c r="B346">
        <v>6215</v>
      </c>
      <c r="C346" t="s">
        <v>166</v>
      </c>
      <c r="D346" t="s">
        <v>163</v>
      </c>
      <c r="E346">
        <f>_xlfn.XLOOKUP(D346,Regije!B:B,Regije!A:A)</f>
        <v>12</v>
      </c>
      <c r="F346" t="b">
        <f>_xlfn.IFNA(_xlfn.XLOOKUP(C346,'regije_občine 212'!$D$4:$D$215,'regije_občine 212'!$D$4:$D$215)=C346,FALSE)</f>
        <v>1</v>
      </c>
      <c r="H346" t="str">
        <f>_xlfn.IFNA(_xlfn.XLOOKUP(C346,'regije_občine 212'!$D$4:$D$215,'regije_občine 212'!$B$4:$B$215),"")</f>
        <v>Obalno-kraška</v>
      </c>
      <c r="I346" s="12" t="str">
        <f t="shared" si="5"/>
        <v/>
      </c>
    </row>
    <row r="347" spans="1:9" x14ac:dyDescent="0.3">
      <c r="A347">
        <v>277</v>
      </c>
      <c r="B347">
        <v>6216</v>
      </c>
      <c r="C347" t="s">
        <v>180</v>
      </c>
      <c r="D347" t="s">
        <v>163</v>
      </c>
      <c r="E347">
        <f>_xlfn.XLOOKUP(D347,Regije!B:B,Regije!A:A)</f>
        <v>12</v>
      </c>
      <c r="F347" t="b">
        <f>_xlfn.IFNA(_xlfn.XLOOKUP(C347,'regije_občine 212'!$D$4:$D$215,'regije_občine 212'!$D$4:$D$215)=C347,FALSE)</f>
        <v>0</v>
      </c>
      <c r="H347" t="str">
        <f>_xlfn.IFNA(_xlfn.XLOOKUP(C347,'regije_občine 212'!$D$4:$D$215,'regije_občine 212'!$B$4:$B$215),"")</f>
        <v/>
      </c>
      <c r="I347" s="12" t="str">
        <f t="shared" si="5"/>
        <v/>
      </c>
    </row>
    <row r="348" spans="1:9" x14ac:dyDescent="0.3">
      <c r="A348">
        <v>452</v>
      </c>
      <c r="B348">
        <v>6217</v>
      </c>
      <c r="C348" t="s">
        <v>189</v>
      </c>
      <c r="D348" t="s">
        <v>163</v>
      </c>
      <c r="E348">
        <f>_xlfn.XLOOKUP(D348,Regije!B:B,Regije!A:A)</f>
        <v>12</v>
      </c>
      <c r="F348" t="b">
        <f>_xlfn.IFNA(_xlfn.XLOOKUP(C348,'regije_občine 212'!$D$4:$D$215,'regije_občine 212'!$D$4:$D$215)=C348,FALSE)</f>
        <v>0</v>
      </c>
      <c r="H348" t="str">
        <f>_xlfn.IFNA(_xlfn.XLOOKUP(C348,'regije_občine 212'!$D$4:$D$215,'regije_občine 212'!$B$4:$B$215),"")</f>
        <v/>
      </c>
      <c r="I348" s="12" t="str">
        <f t="shared" si="5"/>
        <v/>
      </c>
    </row>
    <row r="349" spans="1:9" x14ac:dyDescent="0.3">
      <c r="A349">
        <v>206</v>
      </c>
      <c r="B349">
        <v>6219</v>
      </c>
      <c r="C349" t="s">
        <v>174</v>
      </c>
      <c r="D349" t="s">
        <v>163</v>
      </c>
      <c r="E349">
        <f>_xlfn.XLOOKUP(D349,Regije!B:B,Regije!A:A)</f>
        <v>12</v>
      </c>
      <c r="F349" t="b">
        <f>_xlfn.IFNA(_xlfn.XLOOKUP(C349,'regije_občine 212'!$D$4:$D$215,'regije_občine 212'!$D$4:$D$215)=C349,FALSE)</f>
        <v>0</v>
      </c>
      <c r="H349" t="str">
        <f>_xlfn.IFNA(_xlfn.XLOOKUP(C349,'regije_občine 212'!$D$4:$D$215,'regije_občine 212'!$B$4:$B$215),"")</f>
        <v/>
      </c>
      <c r="I349" s="12" t="str">
        <f t="shared" si="5"/>
        <v/>
      </c>
    </row>
    <row r="350" spans="1:9" x14ac:dyDescent="0.3">
      <c r="A350">
        <v>85</v>
      </c>
      <c r="B350">
        <v>6221</v>
      </c>
      <c r="C350" t="s">
        <v>167</v>
      </c>
      <c r="D350" t="s">
        <v>163</v>
      </c>
      <c r="E350">
        <f>_xlfn.XLOOKUP(D350,Regije!B:B,Regije!A:A)</f>
        <v>12</v>
      </c>
      <c r="F350" t="b">
        <f>_xlfn.IFNA(_xlfn.XLOOKUP(C350,'regije_občine 212'!$D$4:$D$215,'regije_občine 212'!$D$4:$D$215)=C350,FALSE)</f>
        <v>0</v>
      </c>
      <c r="H350" t="str">
        <f>_xlfn.IFNA(_xlfn.XLOOKUP(C350,'regije_občine 212'!$D$4:$D$215,'regije_občine 212'!$B$4:$B$215),"")</f>
        <v/>
      </c>
      <c r="I350" s="12" t="str">
        <f t="shared" si="5"/>
        <v/>
      </c>
    </row>
    <row r="351" spans="1:9" x14ac:dyDescent="0.3">
      <c r="A351">
        <v>410</v>
      </c>
      <c r="B351">
        <v>6222</v>
      </c>
      <c r="C351" t="s">
        <v>188</v>
      </c>
      <c r="D351" t="s">
        <v>163</v>
      </c>
      <c r="E351">
        <f>_xlfn.XLOOKUP(D351,Regije!B:B,Regije!A:A)</f>
        <v>12</v>
      </c>
      <c r="F351" t="b">
        <f>_xlfn.IFNA(_xlfn.XLOOKUP(C351,'regije_občine 212'!$D$4:$D$215,'regije_občine 212'!$D$4:$D$215)=C351,FALSE)</f>
        <v>0</v>
      </c>
      <c r="H351" t="str">
        <f>_xlfn.IFNA(_xlfn.XLOOKUP(C351,'regije_občine 212'!$D$4:$D$215,'regije_občine 212'!$B$4:$B$215),"")</f>
        <v/>
      </c>
      <c r="I351" s="12" t="str">
        <f t="shared" si="5"/>
        <v/>
      </c>
    </row>
    <row r="352" spans="1:9" x14ac:dyDescent="0.3">
      <c r="A352">
        <v>153</v>
      </c>
      <c r="B352">
        <v>6223</v>
      </c>
      <c r="C352" t="s">
        <v>170</v>
      </c>
      <c r="D352" t="s">
        <v>163</v>
      </c>
      <c r="E352">
        <f>_xlfn.XLOOKUP(D352,Regije!B:B,Regije!A:A)</f>
        <v>12</v>
      </c>
      <c r="F352" t="b">
        <f>_xlfn.IFNA(_xlfn.XLOOKUP(C352,'regije_občine 212'!$D$4:$D$215,'regije_občine 212'!$D$4:$D$215)=C352,FALSE)</f>
        <v>1</v>
      </c>
      <c r="H352" t="str">
        <f>_xlfn.IFNA(_xlfn.XLOOKUP(C352,'regije_občine 212'!$D$4:$D$215,'regije_občine 212'!$B$4:$B$215),"")</f>
        <v>Obalno-kraška</v>
      </c>
      <c r="I352" s="12" t="str">
        <f t="shared" si="5"/>
        <v/>
      </c>
    </row>
    <row r="353" spans="1:9" x14ac:dyDescent="0.3">
      <c r="A353">
        <v>341</v>
      </c>
      <c r="B353">
        <v>6224</v>
      </c>
      <c r="C353" t="s">
        <v>184</v>
      </c>
      <c r="D353" t="s">
        <v>163</v>
      </c>
      <c r="E353">
        <f>_xlfn.XLOOKUP(D353,Regije!B:B,Regije!A:A)</f>
        <v>12</v>
      </c>
      <c r="F353" t="b">
        <f>_xlfn.IFNA(_xlfn.XLOOKUP(C353,'regije_občine 212'!$D$4:$D$215,'regije_občine 212'!$D$4:$D$215)=C353,FALSE)</f>
        <v>0</v>
      </c>
      <c r="H353" t="str">
        <f>_xlfn.IFNA(_xlfn.XLOOKUP(C353,'regije_občine 212'!$D$4:$D$215,'regije_občine 212'!$B$4:$B$215),"")</f>
        <v/>
      </c>
      <c r="I353" s="12" t="str">
        <f t="shared" si="5"/>
        <v/>
      </c>
    </row>
    <row r="354" spans="1:9" x14ac:dyDescent="0.3">
      <c r="A354">
        <v>118</v>
      </c>
      <c r="B354">
        <v>6225</v>
      </c>
      <c r="C354" t="s">
        <v>405</v>
      </c>
      <c r="D354" t="s">
        <v>402</v>
      </c>
      <c r="E354">
        <f>_xlfn.XLOOKUP(D354,Regije!B:B,Regije!A:A)</f>
        <v>10</v>
      </c>
      <c r="F354" t="b">
        <f>_xlfn.IFNA(_xlfn.XLOOKUP(C354,'regije_občine 212'!$D$4:$D$215,'regije_občine 212'!$D$4:$D$215)=C354,FALSE)</f>
        <v>0</v>
      </c>
      <c r="H354" t="str">
        <f>_xlfn.IFNA(_xlfn.XLOOKUP(C354,'regije_občine 212'!$D$4:$D$215,'regije_občine 212'!$B$4:$B$215),"")</f>
        <v/>
      </c>
      <c r="I354" s="12" t="str">
        <f t="shared" si="5"/>
        <v/>
      </c>
    </row>
    <row r="355" spans="1:9" x14ac:dyDescent="0.3">
      <c r="A355">
        <v>296</v>
      </c>
      <c r="B355">
        <v>6230</v>
      </c>
      <c r="C355" t="s">
        <v>414</v>
      </c>
      <c r="D355" t="s">
        <v>402</v>
      </c>
      <c r="E355">
        <f>_xlfn.XLOOKUP(D355,Regije!B:B,Regije!A:A)</f>
        <v>10</v>
      </c>
      <c r="F355" t="b">
        <f>_xlfn.IFNA(_xlfn.XLOOKUP(C355,'regije_občine 212'!$D$4:$D$215,'regije_občine 212'!$D$4:$D$215)=C355,FALSE)</f>
        <v>1</v>
      </c>
      <c r="H355" t="str">
        <f>_xlfn.IFNA(_xlfn.XLOOKUP(C355,'regije_občine 212'!$D$4:$D$215,'regije_občine 212'!$B$4:$B$215),"")</f>
        <v>Primorsko-notranjska</v>
      </c>
      <c r="I355" s="12" t="str">
        <f t="shared" si="5"/>
        <v/>
      </c>
    </row>
    <row r="356" spans="1:9" x14ac:dyDescent="0.3">
      <c r="A356">
        <v>270</v>
      </c>
      <c r="B356">
        <v>6232</v>
      </c>
      <c r="C356" t="s">
        <v>413</v>
      </c>
      <c r="D356" t="s">
        <v>402</v>
      </c>
      <c r="E356">
        <f>_xlfn.XLOOKUP(D356,Regije!B:B,Regije!A:A)</f>
        <v>10</v>
      </c>
      <c r="F356" t="b">
        <f>_xlfn.IFNA(_xlfn.XLOOKUP(C356,'regije_občine 212'!$D$4:$D$215,'regije_občine 212'!$D$4:$D$215)=C356,FALSE)</f>
        <v>0</v>
      </c>
      <c r="H356" t="str">
        <f>_xlfn.IFNA(_xlfn.XLOOKUP(C356,'regije_občine 212'!$D$4:$D$215,'regije_občine 212'!$B$4:$B$215),"")</f>
        <v/>
      </c>
      <c r="I356" s="12" t="str">
        <f t="shared" si="5"/>
        <v/>
      </c>
    </row>
    <row r="357" spans="1:9" x14ac:dyDescent="0.3">
      <c r="A357">
        <v>163</v>
      </c>
      <c r="B357">
        <v>6240</v>
      </c>
      <c r="C357" t="s">
        <v>173</v>
      </c>
      <c r="D357" t="s">
        <v>163</v>
      </c>
      <c r="E357">
        <f>_xlfn.XLOOKUP(D357,Regije!B:B,Regije!A:A)</f>
        <v>12</v>
      </c>
      <c r="F357" t="b">
        <f>_xlfn.IFNA(_xlfn.XLOOKUP(C357,'regije_občine 212'!$D$4:$D$215,'regije_občine 212'!$D$4:$D$215)=C357,FALSE)</f>
        <v>0</v>
      </c>
      <c r="H357" t="str">
        <f>_xlfn.IFNA(_xlfn.XLOOKUP(C357,'regije_občine 212'!$D$4:$D$215,'regije_občine 212'!$B$4:$B$215),"")</f>
        <v/>
      </c>
      <c r="I357" s="12" t="str">
        <f t="shared" si="5"/>
        <v/>
      </c>
    </row>
    <row r="358" spans="1:9" x14ac:dyDescent="0.3">
      <c r="A358">
        <v>223</v>
      </c>
      <c r="B358">
        <v>6242</v>
      </c>
      <c r="C358" t="s">
        <v>176</v>
      </c>
      <c r="D358" t="s">
        <v>163</v>
      </c>
      <c r="E358">
        <f>_xlfn.XLOOKUP(D358,Regije!B:B,Regije!A:A)</f>
        <v>12</v>
      </c>
      <c r="F358" t="b">
        <f>_xlfn.IFNA(_xlfn.XLOOKUP(C358,'regije_občine 212'!$D$4:$D$215,'regije_občine 212'!$D$4:$D$215)=C358,FALSE)</f>
        <v>0</v>
      </c>
      <c r="H358" t="str">
        <f>_xlfn.IFNA(_xlfn.XLOOKUP(C358,'regije_občine 212'!$D$4:$D$215,'regije_občine 212'!$B$4:$B$215),"")</f>
        <v/>
      </c>
      <c r="I358" s="12" t="str">
        <f t="shared" si="5"/>
        <v/>
      </c>
    </row>
    <row r="359" spans="1:9" x14ac:dyDescent="0.3">
      <c r="A359">
        <v>254</v>
      </c>
      <c r="B359">
        <v>6243</v>
      </c>
      <c r="C359" t="s">
        <v>177</v>
      </c>
      <c r="D359" t="s">
        <v>163</v>
      </c>
      <c r="E359">
        <f>_xlfn.XLOOKUP(D359,Regije!B:B,Regije!A:A)</f>
        <v>12</v>
      </c>
      <c r="F359" t="b">
        <f>_xlfn.IFNA(_xlfn.XLOOKUP(C359,'regije_občine 212'!$D$4:$D$215,'regije_občine 212'!$D$4:$D$215)=C359,FALSE)</f>
        <v>0</v>
      </c>
      <c r="H359" t="str">
        <f>_xlfn.IFNA(_xlfn.XLOOKUP(C359,'regije_občine 212'!$D$4:$D$215,'regije_občine 212'!$B$4:$B$215),"")</f>
        <v/>
      </c>
      <c r="I359" s="12" t="str">
        <f t="shared" si="5"/>
        <v/>
      </c>
    </row>
    <row r="360" spans="1:9" x14ac:dyDescent="0.3">
      <c r="A360">
        <v>279</v>
      </c>
      <c r="B360">
        <v>6244</v>
      </c>
      <c r="C360" t="s">
        <v>181</v>
      </c>
      <c r="D360" t="s">
        <v>163</v>
      </c>
      <c r="E360">
        <f>_xlfn.XLOOKUP(D360,Regije!B:B,Regije!A:A)</f>
        <v>12</v>
      </c>
      <c r="F360" t="b">
        <f>_xlfn.IFNA(_xlfn.XLOOKUP(C360,'regije_občine 212'!$D$4:$D$215,'regije_občine 212'!$D$4:$D$215)=C360,FALSE)</f>
        <v>0</v>
      </c>
      <c r="H360" t="str">
        <f>_xlfn.IFNA(_xlfn.XLOOKUP(C360,'regije_občine 212'!$D$4:$D$215,'regije_občine 212'!$B$4:$B$215),"")</f>
        <v/>
      </c>
      <c r="I360" s="12" t="str">
        <f t="shared" si="5"/>
        <v/>
      </c>
    </row>
    <row r="361" spans="1:9" x14ac:dyDescent="0.3">
      <c r="A361">
        <v>122</v>
      </c>
      <c r="B361">
        <v>6250</v>
      </c>
      <c r="C361" t="s">
        <v>406</v>
      </c>
      <c r="D361" t="s">
        <v>402</v>
      </c>
      <c r="E361">
        <f>_xlfn.XLOOKUP(D361,Regije!B:B,Regije!A:A)</f>
        <v>10</v>
      </c>
      <c r="F361" t="b">
        <f>_xlfn.IFNA(_xlfn.XLOOKUP(C361,'regije_občine 212'!$D$4:$D$215,'regije_občine 212'!$D$4:$D$215)=C361,FALSE)</f>
        <v>1</v>
      </c>
      <c r="H361" t="str">
        <f>_xlfn.IFNA(_xlfn.XLOOKUP(C361,'regije_občine 212'!$D$4:$D$215,'regije_občine 212'!$B$4:$B$215),"")</f>
        <v>Primorsko-notranjska</v>
      </c>
      <c r="I361" s="12" t="str">
        <f t="shared" si="5"/>
        <v/>
      </c>
    </row>
    <row r="362" spans="1:9" x14ac:dyDescent="0.3">
      <c r="A362">
        <v>123</v>
      </c>
      <c r="B362">
        <v>6251</v>
      </c>
      <c r="C362" t="s">
        <v>407</v>
      </c>
      <c r="D362" t="s">
        <v>402</v>
      </c>
      <c r="E362">
        <f>_xlfn.XLOOKUP(D362,Regije!B:B,Regije!A:A)</f>
        <v>10</v>
      </c>
      <c r="F362" t="b">
        <f>_xlfn.IFNA(_xlfn.XLOOKUP(C362,'regije_občine 212'!$D$4:$D$215,'regije_občine 212'!$D$4:$D$215)=C362,FALSE)</f>
        <v>0</v>
      </c>
      <c r="H362" t="str">
        <f>_xlfn.IFNA(_xlfn.XLOOKUP(C362,'regije_občine 212'!$D$4:$D$215,'regije_občine 212'!$B$4:$B$215),"")</f>
        <v/>
      </c>
      <c r="I362" s="12" t="str">
        <f t="shared" si="5"/>
        <v/>
      </c>
    </row>
    <row r="363" spans="1:9" x14ac:dyDescent="0.3">
      <c r="A363">
        <v>146</v>
      </c>
      <c r="B363">
        <v>6253</v>
      </c>
      <c r="C363" t="s">
        <v>409</v>
      </c>
      <c r="D363" t="s">
        <v>402</v>
      </c>
      <c r="E363">
        <f>_xlfn.XLOOKUP(D363,Regije!B:B,Regije!A:A)</f>
        <v>10</v>
      </c>
      <c r="F363" t="b">
        <f>_xlfn.IFNA(_xlfn.XLOOKUP(C363,'regije_občine 212'!$D$4:$D$215,'regije_občine 212'!$D$4:$D$215)=C363,FALSE)</f>
        <v>0</v>
      </c>
      <c r="H363" t="str">
        <f>_xlfn.IFNA(_xlfn.XLOOKUP(C363,'regije_občine 212'!$D$4:$D$215,'regije_občine 212'!$B$4:$B$215),"")</f>
        <v/>
      </c>
      <c r="I363" s="12" t="str">
        <f t="shared" si="5"/>
        <v/>
      </c>
    </row>
    <row r="364" spans="1:9" x14ac:dyDescent="0.3">
      <c r="A364">
        <v>130</v>
      </c>
      <c r="B364">
        <v>6254</v>
      </c>
      <c r="C364" t="s">
        <v>408</v>
      </c>
      <c r="D364" t="s">
        <v>402</v>
      </c>
      <c r="E364">
        <f>_xlfn.XLOOKUP(D364,Regije!B:B,Regije!A:A)</f>
        <v>10</v>
      </c>
      <c r="F364" t="b">
        <f>_xlfn.IFNA(_xlfn.XLOOKUP(C364,'regije_občine 212'!$D$4:$D$215,'regije_občine 212'!$D$4:$D$215)=C364,FALSE)</f>
        <v>0</v>
      </c>
      <c r="H364" t="str">
        <f>_xlfn.IFNA(_xlfn.XLOOKUP(C364,'regije_občine 212'!$D$4:$D$215,'regije_občine 212'!$B$4:$B$215),"")</f>
        <v/>
      </c>
      <c r="I364" s="12" t="str">
        <f t="shared" si="5"/>
        <v/>
      </c>
    </row>
    <row r="365" spans="1:9" x14ac:dyDescent="0.3">
      <c r="A365">
        <v>300</v>
      </c>
      <c r="B365">
        <v>6255</v>
      </c>
      <c r="C365" t="s">
        <v>415</v>
      </c>
      <c r="D365" t="s">
        <v>402</v>
      </c>
      <c r="E365">
        <f>_xlfn.XLOOKUP(D365,Regije!B:B,Regije!A:A)</f>
        <v>10</v>
      </c>
      <c r="F365" t="b">
        <f>_xlfn.IFNA(_xlfn.XLOOKUP(C365,'regije_občine 212'!$D$4:$D$215,'regije_občine 212'!$D$4:$D$215)=C365,FALSE)</f>
        <v>0</v>
      </c>
      <c r="H365" t="str">
        <f>_xlfn.IFNA(_xlfn.XLOOKUP(C365,'regije_občine 212'!$D$4:$D$215,'regije_občine 212'!$B$4:$B$215),"")</f>
        <v/>
      </c>
      <c r="I365" s="12" t="str">
        <f t="shared" si="5"/>
        <v/>
      </c>
    </row>
    <row r="366" spans="1:9" x14ac:dyDescent="0.3">
      <c r="A366">
        <v>161</v>
      </c>
      <c r="B366">
        <v>6256</v>
      </c>
      <c r="C366" t="s">
        <v>410</v>
      </c>
      <c r="D366" t="s">
        <v>402</v>
      </c>
      <c r="E366">
        <f>_xlfn.XLOOKUP(D366,Regije!B:B,Regije!A:A)</f>
        <v>10</v>
      </c>
      <c r="F366" t="b">
        <f>_xlfn.IFNA(_xlfn.XLOOKUP(C366,'regije_občine 212'!$D$4:$D$215,'regije_občine 212'!$D$4:$D$215)=C366,FALSE)</f>
        <v>0</v>
      </c>
      <c r="H366" t="str">
        <f>_xlfn.IFNA(_xlfn.XLOOKUP(C366,'regije_občine 212'!$D$4:$D$215,'regije_občine 212'!$B$4:$B$215),"")</f>
        <v/>
      </c>
      <c r="I366" s="12" t="str">
        <f t="shared" si="5"/>
        <v/>
      </c>
    </row>
    <row r="367" spans="1:9" x14ac:dyDescent="0.3">
      <c r="A367">
        <v>269</v>
      </c>
      <c r="B367">
        <v>6257</v>
      </c>
      <c r="C367" t="s">
        <v>412</v>
      </c>
      <c r="D367" t="s">
        <v>402</v>
      </c>
      <c r="E367">
        <f>_xlfn.XLOOKUP(D367,Regije!B:B,Regije!A:A)</f>
        <v>10</v>
      </c>
      <c r="F367" t="b">
        <f>_xlfn.IFNA(_xlfn.XLOOKUP(C367,'regije_občine 212'!$D$4:$D$215,'regije_občine 212'!$D$4:$D$215)=C367,FALSE)</f>
        <v>1</v>
      </c>
      <c r="H367" t="str">
        <f>_xlfn.IFNA(_xlfn.XLOOKUP(C367,'regije_občine 212'!$D$4:$D$215,'regije_občine 212'!$B$4:$B$215),"")</f>
        <v>Primorsko-notranjska</v>
      </c>
      <c r="I367" s="12" t="str">
        <f t="shared" si="5"/>
        <v/>
      </c>
    </row>
    <row r="368" spans="1:9" x14ac:dyDescent="0.3">
      <c r="A368">
        <v>302</v>
      </c>
      <c r="B368">
        <v>6258</v>
      </c>
      <c r="C368" t="s">
        <v>416</v>
      </c>
      <c r="D368" t="s">
        <v>402</v>
      </c>
      <c r="E368">
        <f>_xlfn.XLOOKUP(D368,Regije!B:B,Regije!A:A)</f>
        <v>10</v>
      </c>
      <c r="F368" t="b">
        <f>_xlfn.IFNA(_xlfn.XLOOKUP(C368,'regije_občine 212'!$D$4:$D$215,'regije_občine 212'!$D$4:$D$215)=C368,FALSE)</f>
        <v>0</v>
      </c>
      <c r="H368" t="str">
        <f>_xlfn.IFNA(_xlfn.XLOOKUP(C368,'regije_občine 212'!$D$4:$D$215,'regije_občine 212'!$B$4:$B$215),"")</f>
        <v/>
      </c>
      <c r="I368" s="12" t="str">
        <f t="shared" si="5"/>
        <v/>
      </c>
    </row>
    <row r="369" spans="1:9" x14ac:dyDescent="0.3">
      <c r="A369">
        <v>58</v>
      </c>
      <c r="B369">
        <v>6271</v>
      </c>
      <c r="C369" t="s">
        <v>165</v>
      </c>
      <c r="D369" t="s">
        <v>163</v>
      </c>
      <c r="E369">
        <f>_xlfn.XLOOKUP(D369,Regije!B:B,Regije!A:A)</f>
        <v>12</v>
      </c>
      <c r="F369" t="b">
        <f>_xlfn.IFNA(_xlfn.XLOOKUP(C369,'regije_občine 212'!$D$4:$D$215,'regije_občine 212'!$D$4:$D$215)=C369,FALSE)</f>
        <v>0</v>
      </c>
      <c r="H369" t="str">
        <f>_xlfn.IFNA(_xlfn.XLOOKUP(C369,'regije_občine 212'!$D$4:$D$215,'regije_občine 212'!$B$4:$B$215),"")</f>
        <v/>
      </c>
      <c r="I369" s="12" t="str">
        <f t="shared" si="5"/>
        <v/>
      </c>
    </row>
    <row r="370" spans="1:9" x14ac:dyDescent="0.3">
      <c r="A370">
        <v>102</v>
      </c>
      <c r="B370">
        <v>6272</v>
      </c>
      <c r="C370" t="s">
        <v>168</v>
      </c>
      <c r="D370" t="s">
        <v>163</v>
      </c>
      <c r="E370">
        <f>_xlfn.XLOOKUP(D370,Regije!B:B,Regije!A:A)</f>
        <v>12</v>
      </c>
      <c r="F370" t="b">
        <f>_xlfn.IFNA(_xlfn.XLOOKUP(C370,'regije_občine 212'!$D$4:$D$215,'regije_občine 212'!$D$4:$D$215)=C370,FALSE)</f>
        <v>0</v>
      </c>
      <c r="H370" t="str">
        <f>_xlfn.IFNA(_xlfn.XLOOKUP(C370,'regije_občine 212'!$D$4:$D$215,'regije_občine 212'!$B$4:$B$215),"")</f>
        <v/>
      </c>
      <c r="I370" s="12" t="str">
        <f t="shared" si="5"/>
        <v/>
      </c>
    </row>
    <row r="371" spans="1:9" x14ac:dyDescent="0.3">
      <c r="A371">
        <v>217</v>
      </c>
      <c r="B371">
        <v>6273</v>
      </c>
      <c r="C371" t="s">
        <v>175</v>
      </c>
      <c r="D371" t="s">
        <v>163</v>
      </c>
      <c r="E371">
        <f>_xlfn.XLOOKUP(D371,Regije!B:B,Regije!A:A)</f>
        <v>12</v>
      </c>
      <c r="F371" t="b">
        <f>_xlfn.IFNA(_xlfn.XLOOKUP(C371,'regije_občine 212'!$D$4:$D$215,'regije_občine 212'!$D$4:$D$215)=C371,FALSE)</f>
        <v>0</v>
      </c>
      <c r="H371" t="str">
        <f>_xlfn.IFNA(_xlfn.XLOOKUP(C371,'regije_občine 212'!$D$4:$D$215,'regije_občine 212'!$B$4:$B$215),"")</f>
        <v/>
      </c>
      <c r="I371" s="12" t="str">
        <f t="shared" si="5"/>
        <v/>
      </c>
    </row>
    <row r="372" spans="1:9" x14ac:dyDescent="0.3">
      <c r="A372">
        <v>399</v>
      </c>
      <c r="B372">
        <v>6274</v>
      </c>
      <c r="C372" t="s">
        <v>187</v>
      </c>
      <c r="D372" t="s">
        <v>163</v>
      </c>
      <c r="E372">
        <f>_xlfn.XLOOKUP(D372,Regije!B:B,Regije!A:A)</f>
        <v>12</v>
      </c>
      <c r="F372" t="b">
        <f>_xlfn.IFNA(_xlfn.XLOOKUP(C372,'regije_občine 212'!$D$4:$D$215,'regije_občine 212'!$D$4:$D$215)=C372,FALSE)</f>
        <v>0</v>
      </c>
      <c r="H372" t="str">
        <f>_xlfn.IFNA(_xlfn.XLOOKUP(C372,'regije_občine 212'!$D$4:$D$215,'regije_občine 212'!$B$4:$B$215),"")</f>
        <v/>
      </c>
      <c r="I372" s="12" t="str">
        <f t="shared" si="5"/>
        <v/>
      </c>
    </row>
    <row r="373" spans="1:9" x14ac:dyDescent="0.3">
      <c r="A373">
        <v>54</v>
      </c>
      <c r="B373">
        <v>6275</v>
      </c>
      <c r="C373" t="s">
        <v>164</v>
      </c>
      <c r="D373" t="s">
        <v>163</v>
      </c>
      <c r="E373">
        <f>_xlfn.XLOOKUP(D373,Regije!B:B,Regije!A:A)</f>
        <v>12</v>
      </c>
      <c r="F373" t="b">
        <f>_xlfn.IFNA(_xlfn.XLOOKUP(C373,'regije_občine 212'!$D$4:$D$215,'regije_občine 212'!$D$4:$D$215)=C373,FALSE)</f>
        <v>0</v>
      </c>
      <c r="H373" t="str">
        <f>_xlfn.IFNA(_xlfn.XLOOKUP(C373,'regije_občine 212'!$D$4:$D$215,'regije_občine 212'!$B$4:$B$215),"")</f>
        <v/>
      </c>
      <c r="I373" s="12" t="str">
        <f t="shared" si="5"/>
        <v/>
      </c>
    </row>
    <row r="374" spans="1:9" x14ac:dyDescent="0.3">
      <c r="A374">
        <v>272</v>
      </c>
      <c r="B374">
        <v>6276</v>
      </c>
      <c r="C374" t="s">
        <v>179</v>
      </c>
      <c r="D374" t="s">
        <v>163</v>
      </c>
      <c r="E374">
        <f>_xlfn.XLOOKUP(D374,Regije!B:B,Regije!A:A)</f>
        <v>12</v>
      </c>
      <c r="F374" t="b">
        <f>_xlfn.IFNA(_xlfn.XLOOKUP(C374,'regije_občine 212'!$D$4:$D$215,'regije_občine 212'!$D$4:$D$215)=C374,FALSE)</f>
        <v>0</v>
      </c>
      <c r="H374" t="str">
        <f>_xlfn.IFNA(_xlfn.XLOOKUP(C374,'regije_občine 212'!$D$4:$D$215,'regije_občine 212'!$B$4:$B$215),"")</f>
        <v/>
      </c>
      <c r="I374" s="12" t="str">
        <f t="shared" si="5"/>
        <v/>
      </c>
    </row>
    <row r="375" spans="1:9" x14ac:dyDescent="0.3">
      <c r="A375">
        <v>3</v>
      </c>
      <c r="B375">
        <v>6280</v>
      </c>
      <c r="C375" t="s">
        <v>162</v>
      </c>
      <c r="D375" t="s">
        <v>163</v>
      </c>
      <c r="E375">
        <f>_xlfn.XLOOKUP(D375,Regije!B:B,Regije!A:A)</f>
        <v>12</v>
      </c>
      <c r="F375" t="b">
        <f>_xlfn.IFNA(_xlfn.XLOOKUP(C375,'regije_občine 212'!$D$4:$D$215,'regije_občine 212'!$D$4:$D$215)=C375,FALSE)</f>
        <v>1</v>
      </c>
      <c r="H375" t="str">
        <f>_xlfn.IFNA(_xlfn.XLOOKUP(C375,'regije_občine 212'!$D$4:$D$215,'regije_občine 212'!$B$4:$B$215),"")</f>
        <v>Obalno-kraška</v>
      </c>
      <c r="I375" s="12" t="str">
        <f t="shared" si="5"/>
        <v/>
      </c>
    </row>
    <row r="376" spans="1:9" x14ac:dyDescent="0.3">
      <c r="A376">
        <v>395</v>
      </c>
      <c r="B376">
        <v>6281</v>
      </c>
      <c r="C376" t="s">
        <v>186</v>
      </c>
      <c r="D376" t="s">
        <v>163</v>
      </c>
      <c r="E376">
        <f>_xlfn.XLOOKUP(D376,Regije!B:B,Regije!A:A)</f>
        <v>12</v>
      </c>
      <c r="F376" t="b">
        <f>_xlfn.IFNA(_xlfn.XLOOKUP(C376,'regije_občine 212'!$D$4:$D$215,'regije_občine 212'!$D$4:$D$215)=C376,FALSE)</f>
        <v>0</v>
      </c>
      <c r="H376" t="str">
        <f>_xlfn.IFNA(_xlfn.XLOOKUP(C376,'regije_občine 212'!$D$4:$D$215,'regije_občine 212'!$B$4:$B$215),"")</f>
        <v/>
      </c>
      <c r="I376" s="12" t="str">
        <f t="shared" si="5"/>
        <v/>
      </c>
    </row>
    <row r="377" spans="1:9" x14ac:dyDescent="0.3">
      <c r="A377">
        <v>127</v>
      </c>
      <c r="B377">
        <v>6310</v>
      </c>
      <c r="C377" t="s">
        <v>169</v>
      </c>
      <c r="D377" t="s">
        <v>163</v>
      </c>
      <c r="E377">
        <f>_xlfn.XLOOKUP(D377,Regije!B:B,Regije!A:A)</f>
        <v>12</v>
      </c>
      <c r="F377" t="b">
        <f>_xlfn.IFNA(_xlfn.XLOOKUP(C377,'regije_občine 212'!$D$4:$D$215,'regije_občine 212'!$D$4:$D$215)=C377,FALSE)</f>
        <v>1</v>
      </c>
      <c r="H377" t="str">
        <f>_xlfn.IFNA(_xlfn.XLOOKUP(C377,'regije_občine 212'!$D$4:$D$215,'regije_občine 212'!$B$4:$B$215),"")</f>
        <v>Obalno-kraška</v>
      </c>
      <c r="I377" s="12" t="str">
        <f t="shared" si="5"/>
        <v/>
      </c>
    </row>
    <row r="378" spans="1:9" x14ac:dyDescent="0.3">
      <c r="A378">
        <v>295</v>
      </c>
      <c r="B378">
        <v>6320</v>
      </c>
      <c r="C378" t="s">
        <v>182</v>
      </c>
      <c r="D378" t="s">
        <v>163</v>
      </c>
      <c r="E378">
        <f>_xlfn.XLOOKUP(D378,Regije!B:B,Regije!A:A)</f>
        <v>12</v>
      </c>
      <c r="F378" t="b">
        <f>_xlfn.IFNA(_xlfn.XLOOKUP(C378,'regije_občine 212'!$D$4:$D$215,'regije_občine 212'!$D$4:$D$215)=C378,FALSE)</f>
        <v>0</v>
      </c>
      <c r="H378" t="str">
        <f>_xlfn.IFNA(_xlfn.XLOOKUP(C378,'regije_občine 212'!$D$4:$D$215,'regije_občine 212'!$B$4:$B$215),"")</f>
        <v/>
      </c>
      <c r="I378" s="12" t="str">
        <f t="shared" si="5"/>
        <v/>
      </c>
    </row>
    <row r="379" spans="1:9" x14ac:dyDescent="0.3">
      <c r="A379">
        <v>267</v>
      </c>
      <c r="B379">
        <v>6330</v>
      </c>
      <c r="C379" t="s">
        <v>178</v>
      </c>
      <c r="D379" t="s">
        <v>163</v>
      </c>
      <c r="E379">
        <f>_xlfn.XLOOKUP(D379,Regije!B:B,Regije!A:A)</f>
        <v>12</v>
      </c>
      <c r="F379" t="b">
        <f>_xlfn.IFNA(_xlfn.XLOOKUP(C379,'regije_občine 212'!$D$4:$D$215,'regije_občine 212'!$D$4:$D$215)=C379,FALSE)</f>
        <v>1</v>
      </c>
      <c r="H379" t="str">
        <f>_xlfn.IFNA(_xlfn.XLOOKUP(C379,'regije_občine 212'!$D$4:$D$215,'regije_občine 212'!$B$4:$B$215),"")</f>
        <v>Obalno-kraška</v>
      </c>
      <c r="I379" s="12" t="str">
        <f t="shared" si="5"/>
        <v/>
      </c>
    </row>
    <row r="380" spans="1:9" x14ac:dyDescent="0.3">
      <c r="A380">
        <v>336</v>
      </c>
      <c r="B380">
        <v>6333</v>
      </c>
      <c r="C380" t="s">
        <v>183</v>
      </c>
      <c r="D380" t="s">
        <v>163</v>
      </c>
      <c r="E380">
        <f>_xlfn.XLOOKUP(D380,Regije!B:B,Regije!A:A)</f>
        <v>12</v>
      </c>
      <c r="F380" t="b">
        <f>_xlfn.IFNA(_xlfn.XLOOKUP(C380,'regije_občine 212'!$D$4:$D$215,'regije_občine 212'!$D$4:$D$215)=C380,FALSE)</f>
        <v>0</v>
      </c>
      <c r="H380" t="str">
        <f>_xlfn.IFNA(_xlfn.XLOOKUP(C380,'regije_občine 212'!$D$4:$D$215,'regije_občine 212'!$B$4:$B$215),"")</f>
        <v/>
      </c>
      <c r="I380" s="12" t="str">
        <f t="shared" si="5"/>
        <v/>
      </c>
    </row>
    <row r="381" spans="1:9" x14ac:dyDescent="0.3">
      <c r="A381">
        <v>252</v>
      </c>
      <c r="B381">
        <v>8000</v>
      </c>
      <c r="C381" t="s">
        <v>117</v>
      </c>
      <c r="D381" t="s">
        <v>96</v>
      </c>
      <c r="E381">
        <f>_xlfn.XLOOKUP(D381,Regije!B:B,Regije!A:A)</f>
        <v>7</v>
      </c>
      <c r="F381" t="b">
        <f>_xlfn.IFNA(_xlfn.XLOOKUP(C381,'regije_občine 212'!$D$4:$D$215,'regije_občine 212'!$D$4:$D$215)=C381,FALSE)</f>
        <v>1</v>
      </c>
      <c r="H381" t="str">
        <f>_xlfn.IFNA(_xlfn.XLOOKUP(C381,'regije_občine 212'!$D$4:$D$215,'regije_občine 212'!$B$4:$B$215),"")</f>
        <v>Jugovzhodna Slovenija</v>
      </c>
      <c r="I381" s="12" t="str">
        <f t="shared" si="5"/>
        <v/>
      </c>
    </row>
    <row r="382" spans="1:9" x14ac:dyDescent="0.3">
      <c r="A382">
        <v>253</v>
      </c>
      <c r="B382">
        <v>8001</v>
      </c>
      <c r="C382" t="s">
        <v>118</v>
      </c>
      <c r="D382" t="s">
        <v>96</v>
      </c>
      <c r="E382">
        <f>_xlfn.XLOOKUP(D382,Regije!B:B,Regije!A:A)</f>
        <v>7</v>
      </c>
      <c r="F382" t="b">
        <f>_xlfn.IFNA(_xlfn.XLOOKUP(C382,'regije_občine 212'!$D$4:$D$215,'regije_občine 212'!$D$4:$D$215)=C382,FALSE)</f>
        <v>0</v>
      </c>
      <c r="H382" t="str">
        <f>_xlfn.IFNA(_xlfn.XLOOKUP(C382,'regije_občine 212'!$D$4:$D$215,'regije_občine 212'!$B$4:$B$215),"")</f>
        <v/>
      </c>
      <c r="I382" s="12" t="str">
        <f t="shared" si="5"/>
        <v/>
      </c>
    </row>
    <row r="383" spans="1:9" x14ac:dyDescent="0.3">
      <c r="A383">
        <v>420</v>
      </c>
      <c r="B383">
        <v>8210</v>
      </c>
      <c r="C383" t="s">
        <v>136</v>
      </c>
      <c r="D383" t="s">
        <v>96</v>
      </c>
      <c r="E383">
        <f>_xlfn.XLOOKUP(D383,Regije!B:B,Regije!A:A)</f>
        <v>7</v>
      </c>
      <c r="F383" t="b">
        <f>_xlfn.IFNA(_xlfn.XLOOKUP(C383,'regije_občine 212'!$D$4:$D$215,'regije_občine 212'!$D$4:$D$215)=C383,FALSE)</f>
        <v>1</v>
      </c>
      <c r="H383" t="str">
        <f>_xlfn.IFNA(_xlfn.XLOOKUP(C383,'regije_občine 212'!$D$4:$D$215,'regije_občine 212'!$B$4:$B$215),"")</f>
        <v>Jugovzhodna Slovenija</v>
      </c>
      <c r="I383" s="12" t="str">
        <f t="shared" si="5"/>
        <v/>
      </c>
    </row>
    <row r="384" spans="1:9" x14ac:dyDescent="0.3">
      <c r="A384">
        <v>68</v>
      </c>
      <c r="B384">
        <v>8211</v>
      </c>
      <c r="C384" t="s">
        <v>100</v>
      </c>
      <c r="D384" t="s">
        <v>96</v>
      </c>
      <c r="E384">
        <f>_xlfn.XLOOKUP(D384,Regije!B:B,Regije!A:A)</f>
        <v>7</v>
      </c>
      <c r="F384" t="b">
        <f>_xlfn.IFNA(_xlfn.XLOOKUP(C384,'regije_občine 212'!$D$4:$D$215,'regije_občine 212'!$D$4:$D$215)=C384,FALSE)</f>
        <v>0</v>
      </c>
      <c r="H384" t="str">
        <f>_xlfn.IFNA(_xlfn.XLOOKUP(C384,'regije_občine 212'!$D$4:$D$215,'regije_občine 212'!$B$4:$B$215),"")</f>
        <v/>
      </c>
      <c r="I384" s="12" t="str">
        <f t="shared" si="5"/>
        <v/>
      </c>
    </row>
    <row r="385" spans="1:9" x14ac:dyDescent="0.3">
      <c r="A385">
        <v>433</v>
      </c>
      <c r="B385">
        <v>8212</v>
      </c>
      <c r="C385" t="s">
        <v>138</v>
      </c>
      <c r="D385" t="s">
        <v>96</v>
      </c>
      <c r="E385">
        <f>_xlfn.XLOOKUP(D385,Regije!B:B,Regije!A:A)</f>
        <v>7</v>
      </c>
      <c r="F385" t="b">
        <f>_xlfn.IFNA(_xlfn.XLOOKUP(C385,'regije_občine 212'!$D$4:$D$215,'regije_občine 212'!$D$4:$D$215)=C385,FALSE)</f>
        <v>0</v>
      </c>
      <c r="H385" t="str">
        <f>_xlfn.IFNA(_xlfn.XLOOKUP(C385,'regije_občine 212'!$D$4:$D$215,'regije_občine 212'!$B$4:$B$215),"")</f>
        <v/>
      </c>
      <c r="I385" s="12" t="str">
        <f t="shared" si="5"/>
        <v/>
      </c>
    </row>
    <row r="386" spans="1:9" x14ac:dyDescent="0.3">
      <c r="A386">
        <v>437</v>
      </c>
      <c r="B386">
        <v>8213</v>
      </c>
      <c r="C386" t="s">
        <v>139</v>
      </c>
      <c r="D386" t="s">
        <v>96</v>
      </c>
      <c r="E386">
        <f>_xlfn.XLOOKUP(D386,Regije!B:B,Regije!A:A)</f>
        <v>7</v>
      </c>
      <c r="F386" t="b">
        <f>_xlfn.IFNA(_xlfn.XLOOKUP(C386,'regije_občine 212'!$D$4:$D$215,'regije_občine 212'!$D$4:$D$215)=C386,FALSE)</f>
        <v>0</v>
      </c>
      <c r="H386" t="str">
        <f>_xlfn.IFNA(_xlfn.XLOOKUP(C386,'regije_občine 212'!$D$4:$D$215,'regije_občine 212'!$B$4:$B$215),"")</f>
        <v/>
      </c>
      <c r="I386" s="12" t="str">
        <f t="shared" si="5"/>
        <v/>
      </c>
    </row>
    <row r="387" spans="1:9" x14ac:dyDescent="0.3">
      <c r="A387">
        <v>233</v>
      </c>
      <c r="B387">
        <v>8216</v>
      </c>
      <c r="C387" t="s">
        <v>115</v>
      </c>
      <c r="D387" t="s">
        <v>96</v>
      </c>
      <c r="E387">
        <f>_xlfn.XLOOKUP(D387,Regije!B:B,Regije!A:A)</f>
        <v>7</v>
      </c>
      <c r="F387" t="b">
        <f>_xlfn.IFNA(_xlfn.XLOOKUP(C387,'regije_občine 212'!$D$4:$D$215,'regije_občine 212'!$D$4:$D$215)=C387,FALSE)</f>
        <v>1</v>
      </c>
      <c r="H387" t="str">
        <f>_xlfn.IFNA(_xlfn.XLOOKUP(C387,'regije_občine 212'!$D$4:$D$215,'regije_občine 212'!$B$4:$B$215),"")</f>
        <v>Jugovzhodna Slovenija</v>
      </c>
      <c r="I387" s="12" t="str">
        <f t="shared" ref="I387:I450" si="6">IF(AND(H387&lt;&gt;"",H387&lt;&gt;D387),"drugačna regija!","")</f>
        <v/>
      </c>
    </row>
    <row r="388" spans="1:9" x14ac:dyDescent="0.3">
      <c r="A388">
        <v>402</v>
      </c>
      <c r="B388">
        <v>8220</v>
      </c>
      <c r="C388" t="s">
        <v>134</v>
      </c>
      <c r="D388" t="s">
        <v>96</v>
      </c>
      <c r="E388">
        <f>_xlfn.XLOOKUP(D388,Regije!B:B,Regije!A:A)</f>
        <v>7</v>
      </c>
      <c r="F388" t="b">
        <f>_xlfn.IFNA(_xlfn.XLOOKUP(C388,'regije_občine 212'!$D$4:$D$215,'regije_občine 212'!$D$4:$D$215)=C388,FALSE)</f>
        <v>1</v>
      </c>
      <c r="H388" t="str">
        <f>_xlfn.IFNA(_xlfn.XLOOKUP(C388,'regije_občine 212'!$D$4:$D$215,'regije_občine 212'!$B$4:$B$215),"")</f>
        <v>Jugovzhodna Slovenija</v>
      </c>
      <c r="I388" s="12" t="str">
        <f t="shared" si="6"/>
        <v/>
      </c>
    </row>
    <row r="389" spans="1:9" x14ac:dyDescent="0.3">
      <c r="A389">
        <v>261</v>
      </c>
      <c r="B389">
        <v>8222</v>
      </c>
      <c r="C389" t="s">
        <v>121</v>
      </c>
      <c r="D389" t="s">
        <v>96</v>
      </c>
      <c r="E389">
        <f>_xlfn.XLOOKUP(D389,Regije!B:B,Regije!A:A)</f>
        <v>7</v>
      </c>
      <c r="F389" t="b">
        <f>_xlfn.IFNA(_xlfn.XLOOKUP(C389,'regije_občine 212'!$D$4:$D$215,'regije_občine 212'!$D$4:$D$215)=C389,FALSE)</f>
        <v>0</v>
      </c>
      <c r="H389" t="str">
        <f>_xlfn.IFNA(_xlfn.XLOOKUP(C389,'regije_občine 212'!$D$4:$D$215,'regije_občine 212'!$B$4:$B$215),"")</f>
        <v/>
      </c>
      <c r="I389" s="12" t="str">
        <f t="shared" si="6"/>
        <v/>
      </c>
    </row>
    <row r="390" spans="1:9" x14ac:dyDescent="0.3">
      <c r="A390">
        <v>236</v>
      </c>
      <c r="B390">
        <v>8230</v>
      </c>
      <c r="C390" t="s">
        <v>116</v>
      </c>
      <c r="D390" t="s">
        <v>96</v>
      </c>
      <c r="E390">
        <f>_xlfn.XLOOKUP(D390,Regije!B:B,Regije!A:A)</f>
        <v>7</v>
      </c>
      <c r="F390" t="b">
        <f>_xlfn.IFNA(_xlfn.XLOOKUP(C390,'regije_občine 212'!$D$4:$D$215,'regije_občine 212'!$D$4:$D$215)=C390,FALSE)</f>
        <v>0</v>
      </c>
      <c r="H390" t="str">
        <f>_xlfn.IFNA(_xlfn.XLOOKUP(C390,'regije_občine 212'!$D$4:$D$215,'regije_občine 212'!$B$4:$B$215),"")</f>
        <v/>
      </c>
      <c r="I390" s="12" t="str">
        <f t="shared" si="6"/>
        <v/>
      </c>
    </row>
    <row r="391" spans="1:9" x14ac:dyDescent="0.3">
      <c r="A391">
        <v>419</v>
      </c>
      <c r="B391">
        <v>8231</v>
      </c>
      <c r="C391" t="s">
        <v>135</v>
      </c>
      <c r="D391" t="s">
        <v>96</v>
      </c>
      <c r="E391">
        <f>_xlfn.XLOOKUP(D391,Regije!B:B,Regije!A:A)</f>
        <v>7</v>
      </c>
      <c r="F391" t="b">
        <f>_xlfn.IFNA(_xlfn.XLOOKUP(C391,'regije_občine 212'!$D$4:$D$215,'regije_občine 212'!$D$4:$D$215)=C391,FALSE)</f>
        <v>0</v>
      </c>
      <c r="H391" t="str">
        <f>_xlfn.IFNA(_xlfn.XLOOKUP(C391,'regije_občine 212'!$D$4:$D$215,'regije_občine 212'!$B$4:$B$215),"")</f>
        <v/>
      </c>
      <c r="I391" s="12" t="str">
        <f t="shared" si="6"/>
        <v/>
      </c>
    </row>
    <row r="392" spans="1:9" x14ac:dyDescent="0.3">
      <c r="A392">
        <v>392</v>
      </c>
      <c r="B392">
        <v>8232</v>
      </c>
      <c r="C392" t="s">
        <v>132</v>
      </c>
      <c r="D392" t="s">
        <v>96</v>
      </c>
      <c r="E392">
        <f>_xlfn.XLOOKUP(D392,Regije!B:B,Regije!A:A)</f>
        <v>7</v>
      </c>
      <c r="F392" t="b">
        <f>_xlfn.IFNA(_xlfn.XLOOKUP(C392,'regije_občine 212'!$D$4:$D$215,'regije_občine 212'!$D$4:$D$215)=C392,FALSE)</f>
        <v>1</v>
      </c>
      <c r="H392" t="str">
        <f>_xlfn.IFNA(_xlfn.XLOOKUP(C392,'regije_občine 212'!$D$4:$D$215,'regije_občine 212'!$B$4:$B$215),"")</f>
        <v>Jugovzhodna Slovenija</v>
      </c>
      <c r="I392" s="12" t="str">
        <f t="shared" si="6"/>
        <v/>
      </c>
    </row>
    <row r="393" spans="1:9" x14ac:dyDescent="0.3">
      <c r="A393">
        <v>232</v>
      </c>
      <c r="B393">
        <v>8233</v>
      </c>
      <c r="C393" t="s">
        <v>114</v>
      </c>
      <c r="D393" t="s">
        <v>96</v>
      </c>
      <c r="E393">
        <f>_xlfn.XLOOKUP(D393,Regije!B:B,Regije!A:A)</f>
        <v>7</v>
      </c>
      <c r="F393" t="b">
        <f>_xlfn.IFNA(_xlfn.XLOOKUP(C393,'regije_občine 212'!$D$4:$D$215,'regije_občine 212'!$D$4:$D$215)=C393,FALSE)</f>
        <v>1</v>
      </c>
      <c r="H393" t="str">
        <f>_xlfn.IFNA(_xlfn.XLOOKUP(C393,'regije_občine 212'!$D$4:$D$215,'regije_občine 212'!$B$4:$B$215),"")</f>
        <v>Jugovzhodna Slovenija</v>
      </c>
      <c r="I393" s="12" t="str">
        <f t="shared" si="6"/>
        <v/>
      </c>
    </row>
    <row r="394" spans="1:9" x14ac:dyDescent="0.3">
      <c r="A394">
        <v>32</v>
      </c>
      <c r="B394">
        <v>8250</v>
      </c>
      <c r="C394" t="s">
        <v>376</v>
      </c>
      <c r="D394" t="s">
        <v>371</v>
      </c>
      <c r="E394">
        <f>_xlfn.XLOOKUP(D394,Regije!B:B,Regije!A:A)</f>
        <v>6</v>
      </c>
      <c r="F394" t="b">
        <f>_xlfn.IFNA(_xlfn.XLOOKUP(C394,'regije_občine 212'!$D$4:$D$215,'regije_občine 212'!$D$4:$D$215)=C394,FALSE)</f>
        <v>1</v>
      </c>
      <c r="H394" t="str">
        <f>_xlfn.IFNA(_xlfn.XLOOKUP(C394,'regije_občine 212'!$D$4:$D$215,'regije_občine 212'!$B$4:$B$215),"")</f>
        <v>Posavska</v>
      </c>
      <c r="I394" s="12" t="str">
        <f t="shared" si="6"/>
        <v/>
      </c>
    </row>
    <row r="395" spans="1:9" x14ac:dyDescent="0.3">
      <c r="A395">
        <v>49</v>
      </c>
      <c r="B395">
        <v>8251</v>
      </c>
      <c r="C395" t="s">
        <v>378</v>
      </c>
      <c r="D395" t="s">
        <v>371</v>
      </c>
      <c r="E395">
        <f>_xlfn.XLOOKUP(D395,Regije!B:B,Regije!A:A)</f>
        <v>6</v>
      </c>
      <c r="F395" t="b">
        <f>_xlfn.IFNA(_xlfn.XLOOKUP(C395,'regije_občine 212'!$D$4:$D$215,'regije_občine 212'!$D$4:$D$215)=C395,FALSE)</f>
        <v>0</v>
      </c>
      <c r="H395" t="str">
        <f>_xlfn.IFNA(_xlfn.XLOOKUP(C395,'regije_občine 212'!$D$4:$D$215,'regije_občine 212'!$B$4:$B$215),"")</f>
        <v/>
      </c>
      <c r="I395" s="12" t="str">
        <f t="shared" si="6"/>
        <v/>
      </c>
    </row>
    <row r="396" spans="1:9" x14ac:dyDescent="0.3">
      <c r="A396">
        <v>5</v>
      </c>
      <c r="B396">
        <v>8253</v>
      </c>
      <c r="C396" t="s">
        <v>370</v>
      </c>
      <c r="D396" t="s">
        <v>371</v>
      </c>
      <c r="E396">
        <f>_xlfn.XLOOKUP(D396,Regije!B:B,Regije!A:A)</f>
        <v>6</v>
      </c>
      <c r="F396" t="b">
        <f>_xlfn.IFNA(_xlfn.XLOOKUP(C396,'regije_občine 212'!$D$4:$D$215,'regije_občine 212'!$D$4:$D$215)=C396,FALSE)</f>
        <v>0</v>
      </c>
      <c r="H396" t="str">
        <f>_xlfn.IFNA(_xlfn.XLOOKUP(C396,'regije_občine 212'!$D$4:$D$215,'regije_občine 212'!$B$4:$B$215),"")</f>
        <v/>
      </c>
      <c r="I396" s="12" t="str">
        <f t="shared" si="6"/>
        <v/>
      </c>
    </row>
    <row r="397" spans="1:9" x14ac:dyDescent="0.3">
      <c r="A397">
        <v>92</v>
      </c>
      <c r="B397">
        <v>8254</v>
      </c>
      <c r="C397" t="s">
        <v>380</v>
      </c>
      <c r="D397" t="s">
        <v>371</v>
      </c>
      <c r="E397">
        <f>_xlfn.XLOOKUP(D397,Regije!B:B,Regije!A:A)</f>
        <v>6</v>
      </c>
      <c r="F397" t="b">
        <f>_xlfn.IFNA(_xlfn.XLOOKUP(C397,'regije_občine 212'!$D$4:$D$215,'regije_občine 212'!$D$4:$D$215)=C397,FALSE)</f>
        <v>0</v>
      </c>
      <c r="H397" t="str">
        <f>_xlfn.IFNA(_xlfn.XLOOKUP(C397,'regije_občine 212'!$D$4:$D$215,'regije_občine 212'!$B$4:$B$215),"")</f>
        <v/>
      </c>
      <c r="I397" s="12" t="str">
        <f t="shared" si="6"/>
        <v/>
      </c>
    </row>
    <row r="398" spans="1:9" x14ac:dyDescent="0.3">
      <c r="A398">
        <v>268</v>
      </c>
      <c r="B398">
        <v>8255</v>
      </c>
      <c r="C398" t="s">
        <v>389</v>
      </c>
      <c r="D398" t="s">
        <v>371</v>
      </c>
      <c r="E398">
        <f>_xlfn.XLOOKUP(D398,Regije!B:B,Regije!A:A)</f>
        <v>6</v>
      </c>
      <c r="F398" t="b">
        <f>_xlfn.IFNA(_xlfn.XLOOKUP(C398,'regije_občine 212'!$D$4:$D$215,'regije_občine 212'!$D$4:$D$215)=C398,FALSE)</f>
        <v>0</v>
      </c>
      <c r="H398" t="str">
        <f>_xlfn.IFNA(_xlfn.XLOOKUP(C398,'regije_občine 212'!$D$4:$D$215,'regije_občine 212'!$B$4:$B$215),"")</f>
        <v/>
      </c>
      <c r="I398" s="12" t="str">
        <f t="shared" si="6"/>
        <v/>
      </c>
    </row>
    <row r="399" spans="1:9" x14ac:dyDescent="0.3">
      <c r="A399">
        <v>361</v>
      </c>
      <c r="B399">
        <v>8256</v>
      </c>
      <c r="C399" t="s">
        <v>394</v>
      </c>
      <c r="D399" t="s">
        <v>371</v>
      </c>
      <c r="E399">
        <f>_xlfn.XLOOKUP(D399,Regije!B:B,Regije!A:A)</f>
        <v>6</v>
      </c>
      <c r="F399" t="b">
        <f>_xlfn.IFNA(_xlfn.XLOOKUP(C399,'regije_občine 212'!$D$4:$D$215,'regije_občine 212'!$D$4:$D$215)=C399,FALSE)</f>
        <v>0</v>
      </c>
      <c r="H399" t="str">
        <f>_xlfn.IFNA(_xlfn.XLOOKUP(C399,'regije_občine 212'!$D$4:$D$215,'regije_občine 212'!$B$4:$B$215),"")</f>
        <v/>
      </c>
      <c r="I399" s="12" t="str">
        <f t="shared" si="6"/>
        <v/>
      </c>
    </row>
    <row r="400" spans="1:9" x14ac:dyDescent="0.3">
      <c r="A400">
        <v>64</v>
      </c>
      <c r="B400">
        <v>8257</v>
      </c>
      <c r="C400" t="s">
        <v>379</v>
      </c>
      <c r="D400" t="s">
        <v>371</v>
      </c>
      <c r="E400">
        <f>_xlfn.XLOOKUP(D400,Regije!B:B,Regije!A:A)</f>
        <v>6</v>
      </c>
      <c r="F400" t="b">
        <f>_xlfn.IFNA(_xlfn.XLOOKUP(C400,'regije_občine 212'!$D$4:$D$215,'regije_občine 212'!$D$4:$D$215)=C400,FALSE)</f>
        <v>0</v>
      </c>
      <c r="H400" t="str">
        <f>_xlfn.IFNA(_xlfn.XLOOKUP(C400,'regije_občine 212'!$D$4:$D$215,'regije_občine 212'!$B$4:$B$215),"")</f>
        <v/>
      </c>
      <c r="I400" s="12" t="str">
        <f t="shared" si="6"/>
        <v/>
      </c>
    </row>
    <row r="401" spans="1:9" x14ac:dyDescent="0.3">
      <c r="A401">
        <v>142</v>
      </c>
      <c r="B401">
        <v>8258</v>
      </c>
      <c r="C401" t="s">
        <v>382</v>
      </c>
      <c r="D401" t="s">
        <v>371</v>
      </c>
      <c r="E401">
        <f>_xlfn.XLOOKUP(D401,Regije!B:B,Regije!A:A)</f>
        <v>6</v>
      </c>
      <c r="F401" t="b">
        <f>_xlfn.IFNA(_xlfn.XLOOKUP(C401,'regije_občine 212'!$D$4:$D$215,'regije_občine 212'!$D$4:$D$215)=C401,FALSE)</f>
        <v>0</v>
      </c>
      <c r="H401" t="str">
        <f>_xlfn.IFNA(_xlfn.XLOOKUP(C401,'regije_občine 212'!$D$4:$D$215,'regije_občine 212'!$B$4:$B$215),"")</f>
        <v/>
      </c>
      <c r="I401" s="12" t="str">
        <f t="shared" si="6"/>
        <v/>
      </c>
    </row>
    <row r="402" spans="1:9" x14ac:dyDescent="0.3">
      <c r="A402">
        <v>12</v>
      </c>
      <c r="B402">
        <v>8259</v>
      </c>
      <c r="C402" t="s">
        <v>372</v>
      </c>
      <c r="D402" t="s">
        <v>371</v>
      </c>
      <c r="E402">
        <f>_xlfn.XLOOKUP(D402,Regije!B:B,Regije!A:A)</f>
        <v>6</v>
      </c>
      <c r="F402" t="b">
        <f>_xlfn.IFNA(_xlfn.XLOOKUP(C402,'regije_občine 212'!$D$4:$D$215,'regije_občine 212'!$D$4:$D$215)=C402,FALSE)</f>
        <v>0</v>
      </c>
      <c r="H402" t="str">
        <f>_xlfn.IFNA(_xlfn.XLOOKUP(C402,'regije_občine 212'!$D$4:$D$215,'regije_občine 212'!$B$4:$B$215),"")</f>
        <v/>
      </c>
      <c r="I402" s="12" t="str">
        <f t="shared" si="6"/>
        <v/>
      </c>
    </row>
    <row r="403" spans="1:9" x14ac:dyDescent="0.3">
      <c r="A403">
        <v>132</v>
      </c>
      <c r="B403">
        <v>8261</v>
      </c>
      <c r="C403" t="s">
        <v>381</v>
      </c>
      <c r="D403" t="s">
        <v>371</v>
      </c>
      <c r="E403">
        <f>_xlfn.XLOOKUP(D403,Regije!B:B,Regije!A:A)</f>
        <v>6</v>
      </c>
      <c r="F403" t="b">
        <f>_xlfn.IFNA(_xlfn.XLOOKUP(C403,'regije_občine 212'!$D$4:$D$215,'regije_občine 212'!$D$4:$D$215)=C403,FALSE)</f>
        <v>0</v>
      </c>
      <c r="H403" t="str">
        <f>_xlfn.IFNA(_xlfn.XLOOKUP(C403,'regije_občine 212'!$D$4:$D$215,'regije_občine 212'!$B$4:$B$215),"")</f>
        <v/>
      </c>
      <c r="I403" s="12" t="str">
        <f t="shared" si="6"/>
        <v/>
      </c>
    </row>
    <row r="404" spans="1:9" x14ac:dyDescent="0.3">
      <c r="A404">
        <v>175</v>
      </c>
      <c r="B404">
        <v>8262</v>
      </c>
      <c r="C404" t="s">
        <v>385</v>
      </c>
      <c r="D404" t="s">
        <v>371</v>
      </c>
      <c r="E404">
        <f>_xlfn.XLOOKUP(D404,Regije!B:B,Regije!A:A)</f>
        <v>6</v>
      </c>
      <c r="F404" t="b">
        <f>_xlfn.IFNA(_xlfn.XLOOKUP(C404,'regije_občine 212'!$D$4:$D$215,'regije_občine 212'!$D$4:$D$215)=C404,FALSE)</f>
        <v>0</v>
      </c>
      <c r="H404" t="str">
        <f>_xlfn.IFNA(_xlfn.XLOOKUP(C404,'regije_občine 212'!$D$4:$D$215,'regije_občine 212'!$B$4:$B$215),"")</f>
        <v/>
      </c>
      <c r="I404" s="12" t="str">
        <f t="shared" si="6"/>
        <v/>
      </c>
    </row>
    <row r="405" spans="1:9" x14ac:dyDescent="0.3">
      <c r="A405">
        <v>41</v>
      </c>
      <c r="B405">
        <v>8263</v>
      </c>
      <c r="C405" t="s">
        <v>377</v>
      </c>
      <c r="D405" t="s">
        <v>371</v>
      </c>
      <c r="E405">
        <f>_xlfn.XLOOKUP(D405,Regije!B:B,Regije!A:A)</f>
        <v>6</v>
      </c>
      <c r="F405" t="b">
        <f>_xlfn.IFNA(_xlfn.XLOOKUP(C405,'regije_občine 212'!$D$4:$D$215,'regije_občine 212'!$D$4:$D$215)=C405,FALSE)</f>
        <v>0</v>
      </c>
      <c r="H405" t="str">
        <f>_xlfn.IFNA(_xlfn.XLOOKUP(C405,'regije_občine 212'!$D$4:$D$215,'regije_občine 212'!$B$4:$B$215),"")</f>
        <v/>
      </c>
      <c r="I405" s="12" t="str">
        <f t="shared" si="6"/>
        <v/>
      </c>
    </row>
    <row r="406" spans="1:9" x14ac:dyDescent="0.3">
      <c r="A406">
        <v>176</v>
      </c>
      <c r="B406">
        <v>8270</v>
      </c>
      <c r="C406" t="s">
        <v>386</v>
      </c>
      <c r="D406" t="s">
        <v>371</v>
      </c>
      <c r="E406">
        <f>_xlfn.XLOOKUP(D406,Regije!B:B,Regije!A:A)</f>
        <v>6</v>
      </c>
      <c r="F406" t="b">
        <f>_xlfn.IFNA(_xlfn.XLOOKUP(C406,'regije_občine 212'!$D$4:$D$215,'regije_občine 212'!$D$4:$D$215)=C406,FALSE)</f>
        <v>1</v>
      </c>
      <c r="H406" t="str">
        <f>_xlfn.IFNA(_xlfn.XLOOKUP(C406,'regije_občine 212'!$D$4:$D$215,'regije_občine 212'!$B$4:$B$215),"")</f>
        <v>Posavska</v>
      </c>
      <c r="I406" s="12" t="str">
        <f t="shared" si="6"/>
        <v/>
      </c>
    </row>
    <row r="407" spans="1:9" x14ac:dyDescent="0.3">
      <c r="A407">
        <v>460</v>
      </c>
      <c r="B407">
        <v>8272</v>
      </c>
      <c r="C407" t="s">
        <v>399</v>
      </c>
      <c r="D407" t="s">
        <v>371</v>
      </c>
      <c r="E407">
        <f>_xlfn.XLOOKUP(D407,Regije!B:B,Regije!A:A)</f>
        <v>6</v>
      </c>
      <c r="F407" t="b">
        <f>_xlfn.IFNA(_xlfn.XLOOKUP(C407,'regije_občine 212'!$D$4:$D$215,'regije_občine 212'!$D$4:$D$215)=C407,FALSE)</f>
        <v>0</v>
      </c>
      <c r="H407" t="str">
        <f>_xlfn.IFNA(_xlfn.XLOOKUP(C407,'regije_občine 212'!$D$4:$D$215,'regije_občine 212'!$B$4:$B$215),"")</f>
        <v/>
      </c>
      <c r="I407" s="12" t="str">
        <f t="shared" si="6"/>
        <v/>
      </c>
    </row>
    <row r="408" spans="1:9" x14ac:dyDescent="0.3">
      <c r="A408">
        <v>185</v>
      </c>
      <c r="B408">
        <v>8273</v>
      </c>
      <c r="C408" t="s">
        <v>387</v>
      </c>
      <c r="D408" t="s">
        <v>371</v>
      </c>
      <c r="E408">
        <f>_xlfn.XLOOKUP(D408,Regije!B:B,Regije!A:A)</f>
        <v>6</v>
      </c>
      <c r="F408" t="b">
        <f>_xlfn.IFNA(_xlfn.XLOOKUP(C408,'regije_občine 212'!$D$4:$D$215,'regije_občine 212'!$D$4:$D$215)=C408,FALSE)</f>
        <v>0</v>
      </c>
      <c r="H408" t="str">
        <f>_xlfn.IFNA(_xlfn.XLOOKUP(C408,'regije_občine 212'!$D$4:$D$215,'regije_občine 212'!$B$4:$B$215),"")</f>
        <v/>
      </c>
      <c r="I408" s="12" t="str">
        <f t="shared" si="6"/>
        <v/>
      </c>
    </row>
    <row r="409" spans="1:9" x14ac:dyDescent="0.3">
      <c r="A409">
        <v>318</v>
      </c>
      <c r="B409">
        <v>8274</v>
      </c>
      <c r="C409" t="s">
        <v>391</v>
      </c>
      <c r="D409" t="s">
        <v>371</v>
      </c>
      <c r="E409">
        <f>_xlfn.XLOOKUP(D409,Regije!B:B,Regije!A:A)</f>
        <v>6</v>
      </c>
      <c r="F409" t="b">
        <f>_xlfn.IFNA(_xlfn.XLOOKUP(C409,'regije_občine 212'!$D$4:$D$215,'regije_občine 212'!$D$4:$D$215)=C409,FALSE)</f>
        <v>0</v>
      </c>
      <c r="H409" t="str">
        <f>_xlfn.IFNA(_xlfn.XLOOKUP(C409,'regije_občine 212'!$D$4:$D$215,'regije_občine 212'!$B$4:$B$215),"")</f>
        <v/>
      </c>
      <c r="I409" s="12" t="str">
        <f t="shared" si="6"/>
        <v/>
      </c>
    </row>
    <row r="410" spans="1:9" x14ac:dyDescent="0.3">
      <c r="A410">
        <v>394</v>
      </c>
      <c r="B410">
        <v>8275</v>
      </c>
      <c r="C410" t="s">
        <v>133</v>
      </c>
      <c r="D410" t="s">
        <v>96</v>
      </c>
      <c r="E410">
        <f>_xlfn.XLOOKUP(D410,Regije!B:B,Regije!A:A)</f>
        <v>7</v>
      </c>
      <c r="F410" t="b">
        <f>_xlfn.IFNA(_xlfn.XLOOKUP(C410,'regije_občine 212'!$D$4:$D$215,'regije_občine 212'!$D$4:$D$215)=C410,FALSE)</f>
        <v>1</v>
      </c>
      <c r="H410" t="str">
        <f>_xlfn.IFNA(_xlfn.XLOOKUP(C410,'regije_občine 212'!$D$4:$D$215,'regije_občine 212'!$B$4:$B$215),"")</f>
        <v>Jugovzhodna Slovenija</v>
      </c>
      <c r="I410" s="12" t="str">
        <f t="shared" si="6"/>
        <v/>
      </c>
    </row>
    <row r="411" spans="1:9" x14ac:dyDescent="0.3">
      <c r="A411">
        <v>36</v>
      </c>
      <c r="B411">
        <v>8276</v>
      </c>
      <c r="C411" t="s">
        <v>98</v>
      </c>
      <c r="D411" t="s">
        <v>96</v>
      </c>
      <c r="E411">
        <f>_xlfn.XLOOKUP(D411,Regije!B:B,Regije!A:A)</f>
        <v>7</v>
      </c>
      <c r="F411" t="b">
        <f>_xlfn.IFNA(_xlfn.XLOOKUP(C411,'regije_občine 212'!$D$4:$D$215,'regije_občine 212'!$D$4:$D$215)=C411,FALSE)</f>
        <v>0</v>
      </c>
      <c r="H411" t="str">
        <f>_xlfn.IFNA(_xlfn.XLOOKUP(C411,'regije_občine 212'!$D$4:$D$215,'regije_občine 212'!$B$4:$B$215),"")</f>
        <v/>
      </c>
      <c r="I411" s="12" t="str">
        <f t="shared" si="6"/>
        <v/>
      </c>
    </row>
    <row r="412" spans="1:9" x14ac:dyDescent="0.3">
      <c r="A412">
        <v>28</v>
      </c>
      <c r="B412">
        <v>8280</v>
      </c>
      <c r="C412" t="s">
        <v>375</v>
      </c>
      <c r="D412" t="s">
        <v>371</v>
      </c>
      <c r="E412">
        <f>_xlfn.XLOOKUP(D412,Regije!B:B,Regije!A:A)</f>
        <v>6</v>
      </c>
      <c r="F412" t="b">
        <f>_xlfn.IFNA(_xlfn.XLOOKUP(C412,'regije_občine 212'!$D$4:$D$215,'regije_občine 212'!$D$4:$D$215)=C412,FALSE)</f>
        <v>0</v>
      </c>
      <c r="H412" t="str">
        <f>_xlfn.IFNA(_xlfn.XLOOKUP(C412,'regije_občine 212'!$D$4:$D$215,'regije_občine 212'!$B$4:$B$215),"")</f>
        <v/>
      </c>
      <c r="I412" s="12" t="str">
        <f t="shared" si="6"/>
        <v/>
      </c>
    </row>
    <row r="413" spans="1:9" x14ac:dyDescent="0.3">
      <c r="A413">
        <v>340</v>
      </c>
      <c r="B413">
        <v>8281</v>
      </c>
      <c r="C413" t="s">
        <v>392</v>
      </c>
      <c r="D413" t="s">
        <v>371</v>
      </c>
      <c r="E413">
        <f>_xlfn.XLOOKUP(D413,Regije!B:B,Regije!A:A)</f>
        <v>6</v>
      </c>
      <c r="F413" t="b">
        <f>_xlfn.IFNA(_xlfn.XLOOKUP(C413,'regije_občine 212'!$D$4:$D$215,'regije_občine 212'!$D$4:$D$215)=C413,FALSE)</f>
        <v>0</v>
      </c>
      <c r="H413" t="str">
        <f>_xlfn.IFNA(_xlfn.XLOOKUP(C413,'regije_občine 212'!$D$4:$D$215,'regije_občine 212'!$B$4:$B$215),"")</f>
        <v/>
      </c>
      <c r="I413" s="12" t="str">
        <f t="shared" si="6"/>
        <v/>
      </c>
    </row>
    <row r="414" spans="1:9" x14ac:dyDescent="0.3">
      <c r="A414">
        <v>157</v>
      </c>
      <c r="B414">
        <v>8282</v>
      </c>
      <c r="C414" t="s">
        <v>383</v>
      </c>
      <c r="D414" t="s">
        <v>371</v>
      </c>
      <c r="E414">
        <f>_xlfn.XLOOKUP(D414,Regije!B:B,Regije!A:A)</f>
        <v>6</v>
      </c>
      <c r="F414" t="b">
        <f>_xlfn.IFNA(_xlfn.XLOOKUP(C414,'regije_občine 212'!$D$4:$D$215,'regije_občine 212'!$D$4:$D$215)=C414,FALSE)</f>
        <v>0</v>
      </c>
      <c r="H414" t="str">
        <f>_xlfn.IFNA(_xlfn.XLOOKUP(C414,'regije_občine 212'!$D$4:$D$215,'regije_občine 212'!$B$4:$B$215),"")</f>
        <v/>
      </c>
      <c r="I414" s="12" t="str">
        <f t="shared" si="6"/>
        <v/>
      </c>
    </row>
    <row r="415" spans="1:9" x14ac:dyDescent="0.3">
      <c r="A415">
        <v>14</v>
      </c>
      <c r="B415">
        <v>8283</v>
      </c>
      <c r="C415" t="s">
        <v>373</v>
      </c>
      <c r="D415" t="s">
        <v>371</v>
      </c>
      <c r="E415">
        <f>_xlfn.XLOOKUP(D415,Regije!B:B,Regije!A:A)</f>
        <v>6</v>
      </c>
      <c r="F415" t="b">
        <f>_xlfn.IFNA(_xlfn.XLOOKUP(C415,'regije_občine 212'!$D$4:$D$215,'regije_občine 212'!$D$4:$D$215)=C415,FALSE)</f>
        <v>0</v>
      </c>
      <c r="H415" t="str">
        <f>_xlfn.IFNA(_xlfn.XLOOKUP(C415,'regije_občine 212'!$D$4:$D$215,'regije_občine 212'!$B$4:$B$215),"")</f>
        <v/>
      </c>
      <c r="I415" s="12" t="str">
        <f t="shared" si="6"/>
        <v/>
      </c>
    </row>
    <row r="416" spans="1:9" x14ac:dyDescent="0.3">
      <c r="A416">
        <v>342</v>
      </c>
      <c r="B416">
        <v>8290</v>
      </c>
      <c r="C416" t="s">
        <v>393</v>
      </c>
      <c r="D416" t="s">
        <v>371</v>
      </c>
      <c r="E416">
        <f>_xlfn.XLOOKUP(D416,Regije!B:B,Regije!A:A)</f>
        <v>6</v>
      </c>
      <c r="F416" t="b">
        <f>_xlfn.IFNA(_xlfn.XLOOKUP(C416,'regije_občine 212'!$D$4:$D$215,'regije_občine 212'!$D$4:$D$215)=C416,FALSE)</f>
        <v>1</v>
      </c>
      <c r="H416" t="str">
        <f>_xlfn.IFNA(_xlfn.XLOOKUP(C416,'regije_občine 212'!$D$4:$D$215,'regije_občine 212'!$B$4:$B$215),"")</f>
        <v>Posavska</v>
      </c>
      <c r="I416" s="12" t="str">
        <f t="shared" si="6"/>
        <v/>
      </c>
    </row>
    <row r="417" spans="1:9" x14ac:dyDescent="0.3">
      <c r="A417">
        <v>456</v>
      </c>
      <c r="B417">
        <v>8292</v>
      </c>
      <c r="C417" t="s">
        <v>398</v>
      </c>
      <c r="D417" t="s">
        <v>371</v>
      </c>
      <c r="E417">
        <f>_xlfn.XLOOKUP(D417,Regije!B:B,Regije!A:A)</f>
        <v>6</v>
      </c>
      <c r="F417" t="b">
        <f>_xlfn.IFNA(_xlfn.XLOOKUP(C417,'regije_občine 212'!$D$4:$D$215,'regije_občine 212'!$D$4:$D$215)=C417,FALSE)</f>
        <v>0</v>
      </c>
      <c r="H417" t="str">
        <f>_xlfn.IFNA(_xlfn.XLOOKUP(C417,'regije_občine 212'!$D$4:$D$215,'regije_občine 212'!$B$4:$B$215),"")</f>
        <v/>
      </c>
      <c r="I417" s="12" t="str">
        <f t="shared" si="6"/>
        <v/>
      </c>
    </row>
    <row r="418" spans="1:9" x14ac:dyDescent="0.3">
      <c r="A418">
        <v>373</v>
      </c>
      <c r="B418">
        <v>8293</v>
      </c>
      <c r="C418" t="s">
        <v>395</v>
      </c>
      <c r="D418" t="s">
        <v>371</v>
      </c>
      <c r="E418">
        <f>_xlfn.XLOOKUP(D418,Regije!B:B,Regije!A:A)</f>
        <v>6</v>
      </c>
      <c r="F418" t="b">
        <f>_xlfn.IFNA(_xlfn.XLOOKUP(C418,'regije_občine 212'!$D$4:$D$215,'regije_občine 212'!$D$4:$D$215)=C418,FALSE)</f>
        <v>0</v>
      </c>
      <c r="H418" t="str">
        <f>_xlfn.IFNA(_xlfn.XLOOKUP(C418,'regije_občine 212'!$D$4:$D$215,'regije_občine 212'!$B$4:$B$215),"")</f>
        <v/>
      </c>
      <c r="I418" s="12" t="str">
        <f t="shared" si="6"/>
        <v/>
      </c>
    </row>
    <row r="419" spans="1:9" x14ac:dyDescent="0.3">
      <c r="A419">
        <v>23</v>
      </c>
      <c r="B419">
        <v>8294</v>
      </c>
      <c r="C419" t="s">
        <v>374</v>
      </c>
      <c r="D419" t="s">
        <v>371</v>
      </c>
      <c r="E419">
        <f>_xlfn.XLOOKUP(D419,Regije!B:B,Regije!A:A)</f>
        <v>6</v>
      </c>
      <c r="F419" t="b">
        <f>_xlfn.IFNA(_xlfn.XLOOKUP(C419,'regije_občine 212'!$D$4:$D$215,'regije_občine 212'!$D$4:$D$215)=C419,FALSE)</f>
        <v>0</v>
      </c>
      <c r="H419" t="str">
        <f>_xlfn.IFNA(_xlfn.XLOOKUP(C419,'regije_občine 212'!$D$4:$D$215,'regije_občine 212'!$B$4:$B$215),"")</f>
        <v/>
      </c>
      <c r="I419" s="12" t="str">
        <f t="shared" si="6"/>
        <v/>
      </c>
    </row>
    <row r="420" spans="1:9" x14ac:dyDescent="0.3">
      <c r="A420">
        <v>426</v>
      </c>
      <c r="B420">
        <v>8295</v>
      </c>
      <c r="C420" t="s">
        <v>397</v>
      </c>
      <c r="D420" t="s">
        <v>371</v>
      </c>
      <c r="E420">
        <f>_xlfn.XLOOKUP(D420,Regije!B:B,Regije!A:A)</f>
        <v>6</v>
      </c>
      <c r="F420" t="b">
        <f>_xlfn.IFNA(_xlfn.XLOOKUP(C420,'regije_občine 212'!$D$4:$D$215,'regije_občine 212'!$D$4:$D$215)=C420,FALSE)</f>
        <v>0</v>
      </c>
      <c r="H420" t="str">
        <f>_xlfn.IFNA(_xlfn.XLOOKUP(C420,'regije_občine 212'!$D$4:$D$215,'regije_občine 212'!$B$4:$B$215),"")</f>
        <v/>
      </c>
      <c r="I420" s="12" t="str">
        <f t="shared" si="6"/>
        <v/>
      </c>
    </row>
    <row r="421" spans="1:9" x14ac:dyDescent="0.3">
      <c r="A421">
        <v>173</v>
      </c>
      <c r="B421">
        <v>8296</v>
      </c>
      <c r="C421" t="s">
        <v>384</v>
      </c>
      <c r="D421" t="s">
        <v>371</v>
      </c>
      <c r="E421">
        <f>_xlfn.XLOOKUP(D421,Regije!B:B,Regije!A:A)</f>
        <v>6</v>
      </c>
      <c r="F421" t="b">
        <f>_xlfn.IFNA(_xlfn.XLOOKUP(C421,'regije_občine 212'!$D$4:$D$215,'regije_občine 212'!$D$4:$D$215)=C421,FALSE)</f>
        <v>0</v>
      </c>
      <c r="H421" t="str">
        <f>_xlfn.IFNA(_xlfn.XLOOKUP(C421,'regije_občine 212'!$D$4:$D$215,'regije_občine 212'!$B$4:$B$215),"")</f>
        <v/>
      </c>
      <c r="I421" s="12" t="str">
        <f t="shared" si="6"/>
        <v/>
      </c>
    </row>
    <row r="422" spans="1:9" x14ac:dyDescent="0.3">
      <c r="A422">
        <v>387</v>
      </c>
      <c r="B422">
        <v>8297</v>
      </c>
      <c r="C422" t="s">
        <v>396</v>
      </c>
      <c r="D422" t="s">
        <v>371</v>
      </c>
      <c r="E422">
        <f>_xlfn.XLOOKUP(D422,Regije!B:B,Regije!A:A)</f>
        <v>6</v>
      </c>
      <c r="F422" t="b">
        <f>_xlfn.IFNA(_xlfn.XLOOKUP(C422,'regije_občine 212'!$D$4:$D$215,'regije_občine 212'!$D$4:$D$215)=C422,FALSE)</f>
        <v>0</v>
      </c>
      <c r="H422" t="str">
        <f>_xlfn.IFNA(_xlfn.XLOOKUP(C422,'regije_občine 212'!$D$4:$D$215,'regije_občine 212'!$B$4:$B$215),"")</f>
        <v/>
      </c>
      <c r="I422" s="12" t="str">
        <f t="shared" si="6"/>
        <v/>
      </c>
    </row>
    <row r="423" spans="1:9" x14ac:dyDescent="0.3">
      <c r="A423">
        <v>389</v>
      </c>
      <c r="B423">
        <v>8310</v>
      </c>
      <c r="C423" t="s">
        <v>131</v>
      </c>
      <c r="D423" t="s">
        <v>96</v>
      </c>
      <c r="E423">
        <f>_xlfn.XLOOKUP(D423,Regije!B:B,Regije!A:A)</f>
        <v>7</v>
      </c>
      <c r="F423" t="b">
        <f>_xlfn.IFNA(_xlfn.XLOOKUP(C423,'regije_občine 212'!$D$4:$D$215,'regije_občine 212'!$D$4:$D$215)=C423,FALSE)</f>
        <v>1</v>
      </c>
      <c r="H423" t="str">
        <f>_xlfn.IFNA(_xlfn.XLOOKUP(C423,'regije_občine 212'!$D$4:$D$215,'regije_občine 212'!$B$4:$B$215),"")</f>
        <v>Jugovzhodna Slovenija</v>
      </c>
      <c r="I423" s="12" t="str">
        <f t="shared" si="6"/>
        <v/>
      </c>
    </row>
    <row r="424" spans="1:9" x14ac:dyDescent="0.3">
      <c r="A424">
        <v>159</v>
      </c>
      <c r="B424">
        <v>8311</v>
      </c>
      <c r="C424" t="s">
        <v>110</v>
      </c>
      <c r="D424" t="s">
        <v>96</v>
      </c>
      <c r="E424">
        <f>_xlfn.XLOOKUP(D424,Regije!B:B,Regije!A:A)</f>
        <v>7</v>
      </c>
      <c r="F424" t="b">
        <f>_xlfn.IFNA(_xlfn.XLOOKUP(C424,'regije_občine 212'!$D$4:$D$215,'regije_občine 212'!$D$4:$D$215)=C424,FALSE)</f>
        <v>1</v>
      </c>
      <c r="H424" t="str">
        <f>_xlfn.IFNA(_xlfn.XLOOKUP(C424,'regije_občine 212'!$D$4:$D$215,'regije_občine 212'!$B$4:$B$215),"")</f>
        <v>Posavska</v>
      </c>
      <c r="I424" s="12" t="str">
        <f t="shared" si="6"/>
        <v>drugačna regija!</v>
      </c>
    </row>
    <row r="425" spans="1:9" x14ac:dyDescent="0.3">
      <c r="A425">
        <v>273</v>
      </c>
      <c r="B425">
        <v>8312</v>
      </c>
      <c r="C425" t="s">
        <v>122</v>
      </c>
      <c r="D425" t="s">
        <v>96</v>
      </c>
      <c r="E425">
        <f>_xlfn.XLOOKUP(D425,Regije!B:B,Regije!A:A)</f>
        <v>7</v>
      </c>
      <c r="F425" t="b">
        <f>_xlfn.IFNA(_xlfn.XLOOKUP(C425,'regije_občine 212'!$D$4:$D$215,'regije_občine 212'!$D$4:$D$215)=C425,FALSE)</f>
        <v>0</v>
      </c>
      <c r="H425" t="str">
        <f>_xlfn.IFNA(_xlfn.XLOOKUP(C425,'regije_občine 212'!$D$4:$D$215,'regije_občine 212'!$B$4:$B$215),"")</f>
        <v/>
      </c>
      <c r="I425" s="12" t="str">
        <f t="shared" si="6"/>
        <v/>
      </c>
    </row>
    <row r="426" spans="1:9" x14ac:dyDescent="0.3">
      <c r="A426">
        <v>34</v>
      </c>
      <c r="B426">
        <v>8321</v>
      </c>
      <c r="C426" t="s">
        <v>97</v>
      </c>
      <c r="D426" t="s">
        <v>96</v>
      </c>
      <c r="E426">
        <f>_xlfn.XLOOKUP(D426,Regije!B:B,Regije!A:A)</f>
        <v>7</v>
      </c>
      <c r="F426" t="b">
        <f>_xlfn.IFNA(_xlfn.XLOOKUP(C426,'regije_občine 212'!$D$4:$D$215,'regije_občine 212'!$D$4:$D$215)=C426,FALSE)</f>
        <v>0</v>
      </c>
      <c r="H426" t="str">
        <f>_xlfn.IFNA(_xlfn.XLOOKUP(C426,'regije_občine 212'!$D$4:$D$215,'regije_občine 212'!$B$4:$B$215),"")</f>
        <v/>
      </c>
      <c r="I426" s="12" t="str">
        <f t="shared" si="6"/>
        <v/>
      </c>
    </row>
    <row r="427" spans="1:9" x14ac:dyDescent="0.3">
      <c r="A427">
        <v>369</v>
      </c>
      <c r="B427">
        <v>8322</v>
      </c>
      <c r="C427" t="s">
        <v>128</v>
      </c>
      <c r="D427" t="s">
        <v>96</v>
      </c>
      <c r="E427">
        <f>_xlfn.XLOOKUP(D427,Regije!B:B,Regije!A:A)</f>
        <v>7</v>
      </c>
      <c r="F427" t="b">
        <f>_xlfn.IFNA(_xlfn.XLOOKUP(C427,'regije_občine 212'!$D$4:$D$215,'regije_občine 212'!$D$4:$D$215)=C427,FALSE)</f>
        <v>0</v>
      </c>
      <c r="H427" t="str">
        <f>_xlfn.IFNA(_xlfn.XLOOKUP(C427,'regije_občine 212'!$D$4:$D$215,'regije_občine 212'!$B$4:$B$215),"")</f>
        <v/>
      </c>
      <c r="I427" s="12" t="str">
        <f t="shared" si="6"/>
        <v/>
      </c>
    </row>
    <row r="428" spans="1:9" x14ac:dyDescent="0.3">
      <c r="A428">
        <v>429</v>
      </c>
      <c r="B428">
        <v>8323</v>
      </c>
      <c r="C428" t="s">
        <v>137</v>
      </c>
      <c r="D428" t="s">
        <v>96</v>
      </c>
      <c r="E428">
        <f>_xlfn.XLOOKUP(D428,Regije!B:B,Regije!A:A)</f>
        <v>7</v>
      </c>
      <c r="F428" t="b">
        <f>_xlfn.IFNA(_xlfn.XLOOKUP(C428,'regije_občine 212'!$D$4:$D$215,'regije_občine 212'!$D$4:$D$215)=C428,FALSE)</f>
        <v>0</v>
      </c>
      <c r="H428" t="str">
        <f>_xlfn.IFNA(_xlfn.XLOOKUP(C428,'regije_občine 212'!$D$4:$D$215,'regije_občine 212'!$B$4:$B$215),"")</f>
        <v/>
      </c>
      <c r="I428" s="12" t="str">
        <f t="shared" si="6"/>
        <v/>
      </c>
    </row>
    <row r="429" spans="1:9" x14ac:dyDescent="0.3">
      <c r="A429">
        <v>227</v>
      </c>
      <c r="B429">
        <v>8330</v>
      </c>
      <c r="C429" t="s">
        <v>113</v>
      </c>
      <c r="D429" t="s">
        <v>96</v>
      </c>
      <c r="E429">
        <f>_xlfn.XLOOKUP(D429,Regije!B:B,Regije!A:A)</f>
        <v>7</v>
      </c>
      <c r="F429" t="b">
        <f>_xlfn.IFNA(_xlfn.XLOOKUP(C429,'regije_občine 212'!$D$4:$D$215,'regije_občine 212'!$D$4:$D$215)=C429,FALSE)</f>
        <v>1</v>
      </c>
      <c r="H429" t="str">
        <f>_xlfn.IFNA(_xlfn.XLOOKUP(C429,'regije_občine 212'!$D$4:$D$215,'regije_občine 212'!$B$4:$B$215),"")</f>
        <v>Jugovzhodna Slovenija</v>
      </c>
      <c r="I429" s="12" t="str">
        <f t="shared" si="6"/>
        <v/>
      </c>
    </row>
    <row r="430" spans="1:9" x14ac:dyDescent="0.3">
      <c r="A430">
        <v>374</v>
      </c>
      <c r="B430">
        <v>8331</v>
      </c>
      <c r="C430" t="s">
        <v>130</v>
      </c>
      <c r="D430" t="s">
        <v>96</v>
      </c>
      <c r="E430">
        <f>_xlfn.XLOOKUP(D430,Regije!B:B,Regije!A:A)</f>
        <v>7</v>
      </c>
      <c r="F430" t="b">
        <f>_xlfn.IFNA(_xlfn.XLOOKUP(C430,'regije_občine 212'!$D$4:$D$215,'regije_občine 212'!$D$4:$D$215)=C430,FALSE)</f>
        <v>0</v>
      </c>
      <c r="H430" t="str">
        <f>_xlfn.IFNA(_xlfn.XLOOKUP(C430,'regije_občine 212'!$D$4:$D$215,'regije_občine 212'!$B$4:$B$215),"")</f>
        <v/>
      </c>
      <c r="I430" s="12" t="str">
        <f t="shared" si="6"/>
        <v/>
      </c>
    </row>
    <row r="431" spans="1:9" x14ac:dyDescent="0.3">
      <c r="A431">
        <v>104</v>
      </c>
      <c r="B431">
        <v>8332</v>
      </c>
      <c r="C431" t="s">
        <v>106</v>
      </c>
      <c r="D431" t="s">
        <v>96</v>
      </c>
      <c r="E431">
        <f>_xlfn.XLOOKUP(D431,Regije!B:B,Regije!A:A)</f>
        <v>7</v>
      </c>
      <c r="F431" t="b">
        <f>_xlfn.IFNA(_xlfn.XLOOKUP(C431,'regije_občine 212'!$D$4:$D$215,'regije_občine 212'!$D$4:$D$215)=C431,FALSE)</f>
        <v>0</v>
      </c>
      <c r="H431" t="str">
        <f>_xlfn.IFNA(_xlfn.XLOOKUP(C431,'regije_občine 212'!$D$4:$D$215,'regije_občine 212'!$B$4:$B$215),"")</f>
        <v/>
      </c>
      <c r="I431" s="12" t="str">
        <f t="shared" si="6"/>
        <v/>
      </c>
    </row>
    <row r="432" spans="1:9" x14ac:dyDescent="0.3">
      <c r="A432">
        <v>339</v>
      </c>
      <c r="B432">
        <v>8333</v>
      </c>
      <c r="C432" t="s">
        <v>124</v>
      </c>
      <c r="D432" t="s">
        <v>96</v>
      </c>
      <c r="E432">
        <f>_xlfn.XLOOKUP(D432,Regije!B:B,Regije!A:A)</f>
        <v>7</v>
      </c>
      <c r="F432" t="b">
        <f>_xlfn.IFNA(_xlfn.XLOOKUP(C432,'regije_občine 212'!$D$4:$D$215,'regije_občine 212'!$D$4:$D$215)=C432,FALSE)</f>
        <v>1</v>
      </c>
      <c r="H432" t="str">
        <f>_xlfn.IFNA(_xlfn.XLOOKUP(C432,'regije_občine 212'!$D$4:$D$215,'regije_občine 212'!$B$4:$B$215),"")</f>
        <v>Jugovzhodna Slovenija</v>
      </c>
      <c r="I432" s="12" t="str">
        <f t="shared" si="6"/>
        <v/>
      </c>
    </row>
    <row r="433" spans="1:9" x14ac:dyDescent="0.3">
      <c r="A433">
        <v>57</v>
      </c>
      <c r="B433">
        <v>8340</v>
      </c>
      <c r="C433" t="s">
        <v>99</v>
      </c>
      <c r="D433" t="s">
        <v>96</v>
      </c>
      <c r="E433">
        <f>_xlfn.XLOOKUP(D433,Regije!B:B,Regije!A:A)</f>
        <v>7</v>
      </c>
      <c r="F433" t="b">
        <f>_xlfn.IFNA(_xlfn.XLOOKUP(C433,'regije_občine 212'!$D$4:$D$215,'regije_občine 212'!$D$4:$D$215)=C433,FALSE)</f>
        <v>1</v>
      </c>
      <c r="H433" t="str">
        <f>_xlfn.IFNA(_xlfn.XLOOKUP(C433,'regije_občine 212'!$D$4:$D$215,'regije_občine 212'!$B$4:$B$215),"")</f>
        <v>Jugovzhodna Slovenija</v>
      </c>
      <c r="I433" s="12" t="str">
        <f t="shared" si="6"/>
        <v/>
      </c>
    </row>
    <row r="434" spans="1:9" x14ac:dyDescent="0.3">
      <c r="A434">
        <v>1</v>
      </c>
      <c r="B434">
        <v>8341</v>
      </c>
      <c r="C434" t="s">
        <v>95</v>
      </c>
      <c r="D434" t="s">
        <v>96</v>
      </c>
      <c r="E434">
        <f>_xlfn.XLOOKUP(D434,Regije!B:B,Regije!A:A)</f>
        <v>7</v>
      </c>
      <c r="F434" t="b">
        <f>_xlfn.IFNA(_xlfn.XLOOKUP(C434,'regije_občine 212'!$D$4:$D$215,'regije_občine 212'!$D$4:$D$215)=C434,FALSE)</f>
        <v>0</v>
      </c>
      <c r="H434" t="str">
        <f>_xlfn.IFNA(_xlfn.XLOOKUP(C434,'regije_občine 212'!$D$4:$D$215,'regije_občine 212'!$B$4:$B$215),"")</f>
        <v/>
      </c>
      <c r="I434" s="12" t="str">
        <f t="shared" si="6"/>
        <v/>
      </c>
    </row>
    <row r="435" spans="1:9" x14ac:dyDescent="0.3">
      <c r="A435">
        <v>365</v>
      </c>
      <c r="B435">
        <v>8342</v>
      </c>
      <c r="C435" t="s">
        <v>127</v>
      </c>
      <c r="D435" t="s">
        <v>96</v>
      </c>
      <c r="E435">
        <f>_xlfn.XLOOKUP(D435,Regije!B:B,Regije!A:A)</f>
        <v>7</v>
      </c>
      <c r="F435" t="b">
        <f>_xlfn.IFNA(_xlfn.XLOOKUP(C435,'regije_občine 212'!$D$4:$D$215,'regije_občine 212'!$D$4:$D$215)=C435,FALSE)</f>
        <v>0</v>
      </c>
      <c r="H435" t="str">
        <f>_xlfn.IFNA(_xlfn.XLOOKUP(C435,'regije_občine 212'!$D$4:$D$215,'regije_občine 212'!$B$4:$B$215),"")</f>
        <v/>
      </c>
      <c r="I435" s="12" t="str">
        <f t="shared" si="6"/>
        <v/>
      </c>
    </row>
    <row r="436" spans="1:9" x14ac:dyDescent="0.3">
      <c r="A436">
        <v>81</v>
      </c>
      <c r="B436">
        <v>8343</v>
      </c>
      <c r="C436" t="s">
        <v>104</v>
      </c>
      <c r="D436" t="s">
        <v>96</v>
      </c>
      <c r="E436">
        <f>_xlfn.XLOOKUP(D436,Regije!B:B,Regije!A:A)</f>
        <v>7</v>
      </c>
      <c r="F436" t="b">
        <f>_xlfn.IFNA(_xlfn.XLOOKUP(C436,'regije_občine 212'!$D$4:$D$215,'regije_občine 212'!$D$4:$D$215)=C436,FALSE)</f>
        <v>0</v>
      </c>
      <c r="H436" t="str">
        <f>_xlfn.IFNA(_xlfn.XLOOKUP(C436,'regije_občine 212'!$D$4:$D$215,'regije_občine 212'!$B$4:$B$215),"")</f>
        <v/>
      </c>
      <c r="I436" s="12" t="str">
        <f t="shared" si="6"/>
        <v/>
      </c>
    </row>
    <row r="437" spans="1:9" x14ac:dyDescent="0.3">
      <c r="A437">
        <v>441</v>
      </c>
      <c r="B437">
        <v>8344</v>
      </c>
      <c r="C437" t="s">
        <v>140</v>
      </c>
      <c r="D437" t="s">
        <v>96</v>
      </c>
      <c r="E437">
        <f>_xlfn.XLOOKUP(D437,Regije!B:B,Regije!A:A)</f>
        <v>7</v>
      </c>
      <c r="F437" t="b">
        <f>_xlfn.IFNA(_xlfn.XLOOKUP(C437,'regije_občine 212'!$D$4:$D$215,'regije_občine 212'!$D$4:$D$215)=C437,FALSE)</f>
        <v>0</v>
      </c>
      <c r="H437" t="str">
        <f>_xlfn.IFNA(_xlfn.XLOOKUP(C437,'regije_občine 212'!$D$4:$D$215,'regije_občine 212'!$B$4:$B$215),"")</f>
        <v/>
      </c>
      <c r="I437" s="12" t="str">
        <f t="shared" si="6"/>
        <v/>
      </c>
    </row>
    <row r="438" spans="1:9" x14ac:dyDescent="0.3">
      <c r="A438">
        <v>76</v>
      </c>
      <c r="B438">
        <v>8350</v>
      </c>
      <c r="C438" t="s">
        <v>102</v>
      </c>
      <c r="D438" t="s">
        <v>96</v>
      </c>
      <c r="E438">
        <f>_xlfn.XLOOKUP(D438,Regije!B:B,Regije!A:A)</f>
        <v>7</v>
      </c>
      <c r="F438" t="b">
        <f>_xlfn.IFNA(_xlfn.XLOOKUP(C438,'regije_občine 212'!$D$4:$D$215,'regije_občine 212'!$D$4:$D$215)=C438,FALSE)</f>
        <v>1</v>
      </c>
      <c r="H438" t="str">
        <f>_xlfn.IFNA(_xlfn.XLOOKUP(C438,'regije_občine 212'!$D$4:$D$215,'regije_občine 212'!$B$4:$B$215),"")</f>
        <v>Jugovzhodna Slovenija</v>
      </c>
      <c r="I438" s="12" t="str">
        <f t="shared" si="6"/>
        <v/>
      </c>
    </row>
    <row r="439" spans="1:9" x14ac:dyDescent="0.3">
      <c r="A439">
        <v>371</v>
      </c>
      <c r="B439">
        <v>8351</v>
      </c>
      <c r="C439" t="s">
        <v>129</v>
      </c>
      <c r="D439" t="s">
        <v>96</v>
      </c>
      <c r="E439">
        <f>_xlfn.XLOOKUP(D439,Regije!B:B,Regije!A:A)</f>
        <v>7</v>
      </c>
      <c r="F439" t="b">
        <f>_xlfn.IFNA(_xlfn.XLOOKUP(C439,'regije_občine 212'!$D$4:$D$215,'regije_občine 212'!$D$4:$D$215)=C439,FALSE)</f>
        <v>1</v>
      </c>
      <c r="H439" t="str">
        <f>_xlfn.IFNA(_xlfn.XLOOKUP(C439,'regije_občine 212'!$D$4:$D$215,'regije_občine 212'!$B$4:$B$215),"")</f>
        <v>Jugovzhodna Slovenija</v>
      </c>
      <c r="I439" s="12" t="str">
        <f t="shared" si="6"/>
        <v/>
      </c>
    </row>
    <row r="440" spans="1:9" x14ac:dyDescent="0.3">
      <c r="A440">
        <v>478</v>
      </c>
      <c r="B440">
        <v>8360</v>
      </c>
      <c r="C440" t="s">
        <v>141</v>
      </c>
      <c r="D440" t="s">
        <v>96</v>
      </c>
      <c r="E440">
        <f>_xlfn.XLOOKUP(D440,Regije!B:B,Regije!A:A)</f>
        <v>7</v>
      </c>
      <c r="F440" t="b">
        <f>_xlfn.IFNA(_xlfn.XLOOKUP(C440,'regije_občine 212'!$D$4:$D$215,'regije_občine 212'!$D$4:$D$215)=C440,FALSE)</f>
        <v>1</v>
      </c>
      <c r="H440" t="str">
        <f>_xlfn.IFNA(_xlfn.XLOOKUP(C440,'regije_občine 212'!$D$4:$D$215,'regije_občine 212'!$B$4:$B$215),"")</f>
        <v>Jugovzhodna Slovenija</v>
      </c>
      <c r="I440" s="12" t="str">
        <f t="shared" si="6"/>
        <v/>
      </c>
    </row>
    <row r="441" spans="1:9" x14ac:dyDescent="0.3">
      <c r="A441">
        <v>86</v>
      </c>
      <c r="B441">
        <v>8361</v>
      </c>
      <c r="C441" t="s">
        <v>105</v>
      </c>
      <c r="D441" t="s">
        <v>96</v>
      </c>
      <c r="E441">
        <f>_xlfn.XLOOKUP(D441,Regije!B:B,Regije!A:A)</f>
        <v>7</v>
      </c>
      <c r="F441" t="b">
        <f>_xlfn.IFNA(_xlfn.XLOOKUP(C441,'regije_občine 212'!$D$4:$D$215,'regije_občine 212'!$D$4:$D$215)=C441,FALSE)</f>
        <v>0</v>
      </c>
      <c r="H441" t="str">
        <f>_xlfn.IFNA(_xlfn.XLOOKUP(C441,'regije_občine 212'!$D$4:$D$215,'regije_občine 212'!$B$4:$B$215),"")</f>
        <v/>
      </c>
      <c r="I441" s="12" t="str">
        <f t="shared" si="6"/>
        <v/>
      </c>
    </row>
    <row r="442" spans="1:9" x14ac:dyDescent="0.3">
      <c r="A442">
        <v>112</v>
      </c>
      <c r="B442">
        <v>8362</v>
      </c>
      <c r="C442" t="s">
        <v>107</v>
      </c>
      <c r="D442" t="s">
        <v>96</v>
      </c>
      <c r="E442">
        <f>_xlfn.XLOOKUP(D442,Regije!B:B,Regije!A:A)</f>
        <v>7</v>
      </c>
      <c r="F442" t="b">
        <f>_xlfn.IFNA(_xlfn.XLOOKUP(C442,'regije_občine 212'!$D$4:$D$215,'regije_občine 212'!$D$4:$D$215)=C442,FALSE)</f>
        <v>0</v>
      </c>
      <c r="H442" t="str">
        <f>_xlfn.IFNA(_xlfn.XLOOKUP(C442,'regije_občine 212'!$D$4:$D$215,'regije_občine 212'!$B$4:$B$215),"")</f>
        <v/>
      </c>
      <c r="I442" s="12" t="str">
        <f t="shared" si="6"/>
        <v/>
      </c>
    </row>
    <row r="443" spans="1:9" x14ac:dyDescent="0.3">
      <c r="A443">
        <v>242</v>
      </c>
      <c r="B443">
        <v>9000</v>
      </c>
      <c r="C443" t="s">
        <v>354</v>
      </c>
      <c r="D443" t="s">
        <v>333</v>
      </c>
      <c r="E443">
        <f>_xlfn.XLOOKUP(D443,Regije!B:B,Regije!A:A)</f>
        <v>1</v>
      </c>
      <c r="F443" t="b">
        <f>_xlfn.IFNA(_xlfn.XLOOKUP(C443,'regije_občine 212'!$D$4:$D$215,'regije_občine 212'!$D$4:$D$215)=C443,FALSE)</f>
        <v>1</v>
      </c>
      <c r="H443" t="str">
        <f>_xlfn.IFNA(_xlfn.XLOOKUP(C443,'regije_občine 212'!$D$4:$D$215,'regije_občine 212'!$B$4:$B$215),"")</f>
        <v>Pomurska</v>
      </c>
      <c r="I443" s="12" t="str">
        <f t="shared" si="6"/>
        <v/>
      </c>
    </row>
    <row r="444" spans="1:9" x14ac:dyDescent="0.3">
      <c r="A444">
        <v>243</v>
      </c>
      <c r="B444">
        <v>9001</v>
      </c>
      <c r="C444" t="s">
        <v>355</v>
      </c>
      <c r="D444" t="s">
        <v>333</v>
      </c>
      <c r="E444">
        <f>_xlfn.XLOOKUP(D444,Regije!B:B,Regije!A:A)</f>
        <v>1</v>
      </c>
      <c r="F444" t="b">
        <f>_xlfn.IFNA(_xlfn.XLOOKUP(C444,'regije_občine 212'!$D$4:$D$215,'regije_občine 212'!$D$4:$D$215)=C444,FALSE)</f>
        <v>0</v>
      </c>
      <c r="H444" t="str">
        <f>_xlfn.IFNA(_xlfn.XLOOKUP(C444,'regije_občine 212'!$D$4:$D$215,'regije_občine 212'!$B$4:$B$215),"")</f>
        <v/>
      </c>
      <c r="I444" s="12" t="str">
        <f t="shared" si="6"/>
        <v/>
      </c>
    </row>
    <row r="445" spans="1:9" x14ac:dyDescent="0.3">
      <c r="A445">
        <v>311</v>
      </c>
      <c r="B445">
        <v>9201</v>
      </c>
      <c r="C445" t="s">
        <v>359</v>
      </c>
      <c r="D445" t="s">
        <v>333</v>
      </c>
      <c r="E445">
        <f>_xlfn.XLOOKUP(D445,Regije!B:B,Regije!A:A)</f>
        <v>1</v>
      </c>
      <c r="F445" t="b">
        <f>_xlfn.IFNA(_xlfn.XLOOKUP(C445,'regije_občine 212'!$D$4:$D$215,'regije_občine 212'!$D$4:$D$215)=C445,FALSE)</f>
        <v>1</v>
      </c>
      <c r="H445" t="str">
        <f>_xlfn.IFNA(_xlfn.XLOOKUP(C445,'regije_občine 212'!$D$4:$D$215,'regije_občine 212'!$B$4:$B$215),"")</f>
        <v>Pomurska</v>
      </c>
      <c r="I445" s="12" t="str">
        <f t="shared" si="6"/>
        <v/>
      </c>
    </row>
    <row r="446" spans="1:9" x14ac:dyDescent="0.3">
      <c r="A446">
        <v>212</v>
      </c>
      <c r="B446">
        <v>9202</v>
      </c>
      <c r="C446" t="s">
        <v>350</v>
      </c>
      <c r="D446" t="s">
        <v>333</v>
      </c>
      <c r="E446">
        <f>_xlfn.XLOOKUP(D446,Regije!B:B,Regije!A:A)</f>
        <v>1</v>
      </c>
      <c r="F446" t="b">
        <f>_xlfn.IFNA(_xlfn.XLOOKUP(C446,'regije_občine 212'!$D$4:$D$215,'regije_občine 212'!$D$4:$D$215)=C446,FALSE)</f>
        <v>0</v>
      </c>
      <c r="H446" t="str">
        <f>_xlfn.IFNA(_xlfn.XLOOKUP(C446,'regije_občine 212'!$D$4:$D$215,'regije_občine 212'!$B$4:$B$215),"")</f>
        <v/>
      </c>
      <c r="I446" s="12" t="str">
        <f t="shared" si="6"/>
        <v/>
      </c>
    </row>
    <row r="447" spans="1:9" x14ac:dyDescent="0.3">
      <c r="A447">
        <v>265</v>
      </c>
      <c r="B447">
        <v>9203</v>
      </c>
      <c r="C447" t="s">
        <v>357</v>
      </c>
      <c r="D447" t="s">
        <v>333</v>
      </c>
      <c r="E447">
        <f>_xlfn.XLOOKUP(D447,Regije!B:B,Regije!A:A)</f>
        <v>1</v>
      </c>
      <c r="F447" t="b">
        <f>_xlfn.IFNA(_xlfn.XLOOKUP(C447,'regije_občine 212'!$D$4:$D$215,'regije_občine 212'!$D$4:$D$215)=C447,FALSE)</f>
        <v>0</v>
      </c>
      <c r="H447" t="str">
        <f>_xlfn.IFNA(_xlfn.XLOOKUP(C447,'regije_občine 212'!$D$4:$D$215,'regije_občine 212'!$B$4:$B$215),"")</f>
        <v/>
      </c>
      <c r="I447" s="12" t="str">
        <f t="shared" si="6"/>
        <v/>
      </c>
    </row>
    <row r="448" spans="1:9" x14ac:dyDescent="0.3">
      <c r="A448">
        <v>381</v>
      </c>
      <c r="B448">
        <v>9204</v>
      </c>
      <c r="C448" t="s">
        <v>365</v>
      </c>
      <c r="D448" t="s">
        <v>333</v>
      </c>
      <c r="E448">
        <f>_xlfn.XLOOKUP(D448,Regije!B:B,Regije!A:A)</f>
        <v>1</v>
      </c>
      <c r="F448" t="b">
        <f>_xlfn.IFNA(_xlfn.XLOOKUP(C448,'regije_občine 212'!$D$4:$D$215,'regije_občine 212'!$D$4:$D$215)=C448,FALSE)</f>
        <v>1</v>
      </c>
      <c r="H448" t="str">
        <f>_xlfn.IFNA(_xlfn.XLOOKUP(C448,'regije_občine 212'!$D$4:$D$215,'regije_občine 212'!$B$4:$B$215),"")</f>
        <v>Pomurska</v>
      </c>
      <c r="I448" s="12" t="str">
        <f t="shared" si="6"/>
        <v/>
      </c>
    </row>
    <row r="449" spans="1:9" x14ac:dyDescent="0.3">
      <c r="A449">
        <v>114</v>
      </c>
      <c r="B449">
        <v>9205</v>
      </c>
      <c r="C449" t="s">
        <v>343</v>
      </c>
      <c r="D449" t="s">
        <v>333</v>
      </c>
      <c r="E449">
        <f>_xlfn.XLOOKUP(D449,Regije!B:B,Regije!A:A)</f>
        <v>1</v>
      </c>
      <c r="F449" t="b">
        <f>_xlfn.IFNA(_xlfn.XLOOKUP(C449,'regije_občine 212'!$D$4:$D$215,'regije_občine 212'!$D$4:$D$215)=C449,FALSE)</f>
        <v>1</v>
      </c>
      <c r="H449" t="str">
        <f>_xlfn.IFNA(_xlfn.XLOOKUP(C449,'regije_občine 212'!$D$4:$D$215,'regije_občine 212'!$B$4:$B$215),"")</f>
        <v>Pomurska</v>
      </c>
      <c r="I449" s="12" t="str">
        <f t="shared" si="6"/>
        <v/>
      </c>
    </row>
    <row r="450" spans="1:9" x14ac:dyDescent="0.3">
      <c r="A450">
        <v>170</v>
      </c>
      <c r="B450">
        <v>9206</v>
      </c>
      <c r="C450" t="s">
        <v>345</v>
      </c>
      <c r="D450" t="s">
        <v>333</v>
      </c>
      <c r="E450">
        <f>_xlfn.XLOOKUP(D450,Regije!B:B,Regije!A:A)</f>
        <v>1</v>
      </c>
      <c r="F450" t="b">
        <f>_xlfn.IFNA(_xlfn.XLOOKUP(C450,'regije_občine 212'!$D$4:$D$215,'regije_občine 212'!$D$4:$D$215)=C450,FALSE)</f>
        <v>1</v>
      </c>
      <c r="H450" t="str">
        <f>_xlfn.IFNA(_xlfn.XLOOKUP(C450,'regije_občine 212'!$D$4:$D$215,'regije_občine 212'!$B$4:$B$215),"")</f>
        <v>Pomurska</v>
      </c>
      <c r="I450" s="12" t="str">
        <f t="shared" si="6"/>
        <v/>
      </c>
    </row>
    <row r="451" spans="1:9" x14ac:dyDescent="0.3">
      <c r="A451">
        <v>307</v>
      </c>
      <c r="B451">
        <v>9207</v>
      </c>
      <c r="C451" t="s">
        <v>358</v>
      </c>
      <c r="D451" t="s">
        <v>333</v>
      </c>
      <c r="E451">
        <f>_xlfn.XLOOKUP(D451,Regije!B:B,Regije!A:A)</f>
        <v>1</v>
      </c>
      <c r="F451" t="b">
        <f>_xlfn.IFNA(_xlfn.XLOOKUP(C451,'regije_občine 212'!$D$4:$D$215,'regije_občine 212'!$D$4:$D$215)=C451,FALSE)</f>
        <v>0</v>
      </c>
      <c r="H451" t="str">
        <f>_xlfn.IFNA(_xlfn.XLOOKUP(C451,'regije_občine 212'!$D$4:$D$215,'regije_občine 212'!$B$4:$B$215),"")</f>
        <v/>
      </c>
      <c r="I451" s="12" t="str">
        <f t="shared" ref="I451:I484" si="7">IF(AND(H451&lt;&gt;"",H451&lt;&gt;D451),"drugačna regija!","")</f>
        <v/>
      </c>
    </row>
    <row r="452" spans="1:9" x14ac:dyDescent="0.3">
      <c r="A452">
        <v>88</v>
      </c>
      <c r="B452">
        <v>9208</v>
      </c>
      <c r="C452" t="s">
        <v>340</v>
      </c>
      <c r="D452" t="s">
        <v>333</v>
      </c>
      <c r="E452">
        <f>_xlfn.XLOOKUP(D452,Regije!B:B,Regije!A:A)</f>
        <v>1</v>
      </c>
      <c r="F452" t="b">
        <f>_xlfn.IFNA(_xlfn.XLOOKUP(C452,'regije_občine 212'!$D$4:$D$215,'regije_občine 212'!$D$4:$D$215)=C452,FALSE)</f>
        <v>0</v>
      </c>
      <c r="H452" t="str">
        <f>_xlfn.IFNA(_xlfn.XLOOKUP(C452,'regije_občine 212'!$D$4:$D$215,'regije_občine 212'!$B$4:$B$215),"")</f>
        <v/>
      </c>
      <c r="I452" s="12" t="str">
        <f t="shared" si="7"/>
        <v/>
      </c>
    </row>
    <row r="453" spans="1:9" x14ac:dyDescent="0.3">
      <c r="A453">
        <v>182</v>
      </c>
      <c r="B453">
        <v>9220</v>
      </c>
      <c r="C453" t="s">
        <v>348</v>
      </c>
      <c r="D453" t="s">
        <v>333</v>
      </c>
      <c r="E453">
        <f>_xlfn.XLOOKUP(D453,Regije!B:B,Regije!A:A)</f>
        <v>1</v>
      </c>
      <c r="F453" t="b">
        <f>_xlfn.IFNA(_xlfn.XLOOKUP(C453,'regije_občine 212'!$D$4:$D$215,'regije_občine 212'!$D$4:$D$215)=C453,FALSE)</f>
        <v>1</v>
      </c>
      <c r="H453" t="str">
        <f>_xlfn.IFNA(_xlfn.XLOOKUP(C453,'regije_občine 212'!$D$4:$D$215,'regije_občine 212'!$B$4:$B$215),"")</f>
        <v>Pomurska</v>
      </c>
      <c r="I453" s="12" t="str">
        <f t="shared" si="7"/>
        <v/>
      </c>
    </row>
    <row r="454" spans="1:9" x14ac:dyDescent="0.3">
      <c r="A454">
        <v>222</v>
      </c>
      <c r="B454">
        <v>9221</v>
      </c>
      <c r="C454" t="s">
        <v>352</v>
      </c>
      <c r="D454" t="s">
        <v>333</v>
      </c>
      <c r="E454">
        <f>_xlfn.XLOOKUP(D454,Regije!B:B,Regije!A:A)</f>
        <v>1</v>
      </c>
      <c r="F454" t="b">
        <f>_xlfn.IFNA(_xlfn.XLOOKUP(C454,'regije_občine 212'!$D$4:$D$215,'regije_občine 212'!$D$4:$D$215)=C454,FALSE)</f>
        <v>0</v>
      </c>
      <c r="H454" t="str">
        <f>_xlfn.IFNA(_xlfn.XLOOKUP(C454,'regije_občine 212'!$D$4:$D$215,'regije_občine 212'!$B$4:$B$215),"")</f>
        <v/>
      </c>
      <c r="I454" s="12" t="str">
        <f t="shared" si="7"/>
        <v/>
      </c>
    </row>
    <row r="455" spans="1:9" x14ac:dyDescent="0.3">
      <c r="A455">
        <v>18</v>
      </c>
      <c r="B455">
        <v>9222</v>
      </c>
      <c r="C455" t="s">
        <v>336</v>
      </c>
      <c r="D455" t="s">
        <v>333</v>
      </c>
      <c r="E455">
        <f>_xlfn.XLOOKUP(D455,Regije!B:B,Regije!A:A)</f>
        <v>1</v>
      </c>
      <c r="F455" t="b">
        <f>_xlfn.IFNA(_xlfn.XLOOKUP(C455,'regije_občine 212'!$D$4:$D$215,'regije_občine 212'!$D$4:$D$215)=C455,FALSE)</f>
        <v>0</v>
      </c>
      <c r="H455" t="str">
        <f>_xlfn.IFNA(_xlfn.XLOOKUP(C455,'regije_občine 212'!$D$4:$D$215,'regije_občine 212'!$B$4:$B$215),"")</f>
        <v/>
      </c>
      <c r="I455" s="12" t="str">
        <f t="shared" si="7"/>
        <v/>
      </c>
    </row>
    <row r="456" spans="1:9" x14ac:dyDescent="0.3">
      <c r="A456">
        <v>70</v>
      </c>
      <c r="B456">
        <v>9223</v>
      </c>
      <c r="C456" t="s">
        <v>339</v>
      </c>
      <c r="D456" t="s">
        <v>333</v>
      </c>
      <c r="E456">
        <f>_xlfn.XLOOKUP(D456,Regije!B:B,Regije!A:A)</f>
        <v>1</v>
      </c>
      <c r="F456" t="b">
        <f>_xlfn.IFNA(_xlfn.XLOOKUP(C456,'regije_občine 212'!$D$4:$D$215,'regije_občine 212'!$D$4:$D$215)=C456,FALSE)</f>
        <v>1</v>
      </c>
      <c r="H456" t="str">
        <f>_xlfn.IFNA(_xlfn.XLOOKUP(C456,'regije_občine 212'!$D$4:$D$215,'regije_občine 212'!$B$4:$B$215),"")</f>
        <v>Pomurska</v>
      </c>
      <c r="I456" s="12" t="str">
        <f t="shared" si="7"/>
        <v/>
      </c>
    </row>
    <row r="457" spans="1:9" x14ac:dyDescent="0.3">
      <c r="A457">
        <v>428</v>
      </c>
      <c r="B457">
        <v>9224</v>
      </c>
      <c r="C457" t="s">
        <v>367</v>
      </c>
      <c r="D457" t="s">
        <v>333</v>
      </c>
      <c r="E457">
        <f>_xlfn.XLOOKUP(D457,Regije!B:B,Regije!A:A)</f>
        <v>1</v>
      </c>
      <c r="F457" t="b">
        <f>_xlfn.IFNA(_xlfn.XLOOKUP(C457,'regije_občine 212'!$D$4:$D$215,'regije_občine 212'!$D$4:$D$215)=C457,FALSE)</f>
        <v>1</v>
      </c>
      <c r="H457" t="str">
        <f>_xlfn.IFNA(_xlfn.XLOOKUP(C457,'regije_občine 212'!$D$4:$D$215,'regije_občine 212'!$B$4:$B$215),"")</f>
        <v>Pomurska</v>
      </c>
      <c r="I457" s="12" t="str">
        <f t="shared" si="7"/>
        <v/>
      </c>
    </row>
    <row r="458" spans="1:9" x14ac:dyDescent="0.3">
      <c r="A458">
        <v>435</v>
      </c>
      <c r="B458">
        <v>9225</v>
      </c>
      <c r="C458" t="s">
        <v>368</v>
      </c>
      <c r="D458" t="s">
        <v>333</v>
      </c>
      <c r="E458">
        <f>_xlfn.XLOOKUP(D458,Regije!B:B,Regije!A:A)</f>
        <v>1</v>
      </c>
      <c r="F458" t="b">
        <f>_xlfn.IFNA(_xlfn.XLOOKUP(C458,'regije_občine 212'!$D$4:$D$215,'regije_občine 212'!$D$4:$D$215)=C458,FALSE)</f>
        <v>1</v>
      </c>
      <c r="H458" t="str">
        <f>_xlfn.IFNA(_xlfn.XLOOKUP(C458,'regije_občine 212'!$D$4:$D$215,'regije_občine 212'!$B$4:$B$215),"")</f>
        <v>Pomurska</v>
      </c>
      <c r="I458" s="12" t="str">
        <f t="shared" si="7"/>
        <v/>
      </c>
    </row>
    <row r="459" spans="1:9" x14ac:dyDescent="0.3">
      <c r="A459">
        <v>238</v>
      </c>
      <c r="B459">
        <v>9226</v>
      </c>
      <c r="C459" t="s">
        <v>353</v>
      </c>
      <c r="D459" t="s">
        <v>333</v>
      </c>
      <c r="E459">
        <f>_xlfn.XLOOKUP(D459,Regije!B:B,Regije!A:A)</f>
        <v>1</v>
      </c>
      <c r="F459" t="b">
        <f>_xlfn.IFNA(_xlfn.XLOOKUP(C459,'regije_občine 212'!$D$4:$D$215,'regije_občine 212'!$D$4:$D$215)=C459,FALSE)</f>
        <v>1</v>
      </c>
      <c r="H459" t="str">
        <f>_xlfn.IFNA(_xlfn.XLOOKUP(C459,'regije_občine 212'!$D$4:$D$215,'regije_občine 212'!$B$4:$B$215),"")</f>
        <v>Pomurska</v>
      </c>
      <c r="I459" s="12" t="str">
        <f t="shared" si="7"/>
        <v/>
      </c>
    </row>
    <row r="460" spans="1:9" x14ac:dyDescent="0.3">
      <c r="A460">
        <v>148</v>
      </c>
      <c r="B460">
        <v>9227</v>
      </c>
      <c r="C460" t="s">
        <v>344</v>
      </c>
      <c r="D460" t="s">
        <v>333</v>
      </c>
      <c r="E460">
        <f>_xlfn.XLOOKUP(D460,Regije!B:B,Regije!A:A)</f>
        <v>1</v>
      </c>
      <c r="F460" t="b">
        <f>_xlfn.IFNA(_xlfn.XLOOKUP(C460,'regije_občine 212'!$D$4:$D$215,'regije_občine 212'!$D$4:$D$215)=C460,FALSE)</f>
        <v>1</v>
      </c>
      <c r="H460" t="str">
        <f>_xlfn.IFNA(_xlfn.XLOOKUP(C460,'regije_občine 212'!$D$4:$D$215,'regije_občine 212'!$B$4:$B$215),"")</f>
        <v>Pomurska</v>
      </c>
      <c r="I460" s="12" t="str">
        <f t="shared" si="7"/>
        <v/>
      </c>
    </row>
    <row r="461" spans="1:9" x14ac:dyDescent="0.3">
      <c r="A461">
        <v>8</v>
      </c>
      <c r="B461">
        <v>9231</v>
      </c>
      <c r="C461" t="s">
        <v>334</v>
      </c>
      <c r="D461" t="s">
        <v>333</v>
      </c>
      <c r="E461">
        <f>_xlfn.XLOOKUP(D461,Regije!B:B,Regije!A:A)</f>
        <v>1</v>
      </c>
      <c r="F461" t="b">
        <f>_xlfn.IFNA(_xlfn.XLOOKUP(C461,'regije_občine 212'!$D$4:$D$215,'regije_občine 212'!$D$4:$D$215)=C461,FALSE)</f>
        <v>1</v>
      </c>
      <c r="H461" t="str">
        <f>_xlfn.IFNA(_xlfn.XLOOKUP(C461,'regije_občine 212'!$D$4:$D$215,'regije_občine 212'!$B$4:$B$215),"")</f>
        <v>Pomurska</v>
      </c>
      <c r="I461" s="12" t="str">
        <f t="shared" si="7"/>
        <v/>
      </c>
    </row>
    <row r="462" spans="1:9" x14ac:dyDescent="0.3">
      <c r="A462">
        <v>52</v>
      </c>
      <c r="B462">
        <v>9232</v>
      </c>
      <c r="C462" t="s">
        <v>338</v>
      </c>
      <c r="D462" t="s">
        <v>333</v>
      </c>
      <c r="E462">
        <f>_xlfn.XLOOKUP(D462,Regije!B:B,Regije!A:A)</f>
        <v>1</v>
      </c>
      <c r="F462" t="b">
        <f>_xlfn.IFNA(_xlfn.XLOOKUP(C462,'regije_občine 212'!$D$4:$D$215,'regije_občine 212'!$D$4:$D$215)=C462,FALSE)</f>
        <v>1</v>
      </c>
      <c r="H462" t="str">
        <f>_xlfn.IFNA(_xlfn.XLOOKUP(C462,'regije_občine 212'!$D$4:$D$215,'regije_občine 212'!$B$4:$B$215),"")</f>
        <v>Pomurska</v>
      </c>
      <c r="I462" s="12" t="str">
        <f t="shared" si="7"/>
        <v/>
      </c>
    </row>
    <row r="463" spans="1:9" x14ac:dyDescent="0.3">
      <c r="A463">
        <v>255</v>
      </c>
      <c r="B463">
        <v>9233</v>
      </c>
      <c r="C463" t="s">
        <v>356</v>
      </c>
      <c r="D463" t="s">
        <v>333</v>
      </c>
      <c r="E463">
        <f>_xlfn.XLOOKUP(D463,Regije!B:B,Regije!A:A)</f>
        <v>1</v>
      </c>
      <c r="F463" t="b">
        <f>_xlfn.IFNA(_xlfn.XLOOKUP(C463,'regije_občine 212'!$D$4:$D$215,'regije_občine 212'!$D$4:$D$215)=C463,FALSE)</f>
        <v>1</v>
      </c>
      <c r="H463" t="str">
        <f>_xlfn.IFNA(_xlfn.XLOOKUP(C463,'regije_občine 212'!$D$4:$D$215,'regije_občine 212'!$B$4:$B$215),"")</f>
        <v>Pomurska</v>
      </c>
      <c r="I463" s="12" t="str">
        <f t="shared" si="7"/>
        <v/>
      </c>
    </row>
    <row r="464" spans="1:9" x14ac:dyDescent="0.3">
      <c r="A464">
        <v>199</v>
      </c>
      <c r="B464">
        <v>9240</v>
      </c>
      <c r="C464" t="s">
        <v>349</v>
      </c>
      <c r="D464" t="s">
        <v>333</v>
      </c>
      <c r="E464">
        <f>_xlfn.XLOOKUP(D464,Regije!B:B,Regije!A:A)</f>
        <v>1</v>
      </c>
      <c r="F464" t="b">
        <f>_xlfn.IFNA(_xlfn.XLOOKUP(C464,'regije_občine 212'!$D$4:$D$215,'regije_občine 212'!$D$4:$D$215)=C464,FALSE)</f>
        <v>1</v>
      </c>
      <c r="H464" t="str">
        <f>_xlfn.IFNA(_xlfn.XLOOKUP(C464,'regije_občine 212'!$D$4:$D$215,'regije_občine 212'!$B$4:$B$215),"")</f>
        <v>Pomurska</v>
      </c>
      <c r="I464" s="12" t="str">
        <f t="shared" si="7"/>
        <v/>
      </c>
    </row>
    <row r="465" spans="1:9" x14ac:dyDescent="0.3">
      <c r="A465">
        <v>438</v>
      </c>
      <c r="B465">
        <v>9241</v>
      </c>
      <c r="C465" t="s">
        <v>369</v>
      </c>
      <c r="D465" t="s">
        <v>333</v>
      </c>
      <c r="E465">
        <f>_xlfn.XLOOKUP(D465,Regije!B:B,Regije!A:A)</f>
        <v>1</v>
      </c>
      <c r="F465" t="b">
        <f>_xlfn.IFNA(_xlfn.XLOOKUP(C465,'regije_občine 212'!$D$4:$D$215,'regije_občine 212'!$D$4:$D$215)=C465,FALSE)</f>
        <v>1</v>
      </c>
      <c r="H465" t="str">
        <f>_xlfn.IFNA(_xlfn.XLOOKUP(C465,'regije_občine 212'!$D$4:$D$215,'regije_občine 212'!$B$4:$B$215),"")</f>
        <v>Pomurska</v>
      </c>
      <c r="I465" s="12" t="str">
        <f t="shared" si="7"/>
        <v/>
      </c>
    </row>
    <row r="466" spans="1:9" x14ac:dyDescent="0.3">
      <c r="A466">
        <v>171</v>
      </c>
      <c r="B466">
        <v>9242</v>
      </c>
      <c r="C466" t="s">
        <v>346</v>
      </c>
      <c r="D466" t="s">
        <v>333</v>
      </c>
      <c r="E466">
        <f>_xlfn.XLOOKUP(D466,Regije!B:B,Regije!A:A)</f>
        <v>1</v>
      </c>
      <c r="F466" t="b">
        <f>_xlfn.IFNA(_xlfn.XLOOKUP(C466,'regije_občine 212'!$D$4:$D$215,'regije_občine 212'!$D$4:$D$215)=C466,FALSE)</f>
        <v>0</v>
      </c>
      <c r="H466" t="str">
        <f>_xlfn.IFNA(_xlfn.XLOOKUP(C466,'regije_občine 212'!$D$4:$D$215,'regije_občine 212'!$B$4:$B$215),"")</f>
        <v/>
      </c>
      <c r="I466" s="12" t="str">
        <f t="shared" si="7"/>
        <v/>
      </c>
    </row>
    <row r="467" spans="1:9" x14ac:dyDescent="0.3">
      <c r="A467">
        <v>215</v>
      </c>
      <c r="B467">
        <v>9243</v>
      </c>
      <c r="C467" t="s">
        <v>351</v>
      </c>
      <c r="D467" t="s">
        <v>333</v>
      </c>
      <c r="E467">
        <f>_xlfn.XLOOKUP(D467,Regije!B:B,Regije!A:A)</f>
        <v>1</v>
      </c>
      <c r="F467" t="b">
        <f>_xlfn.IFNA(_xlfn.XLOOKUP(C467,'regije_občine 212'!$D$4:$D$215,'regije_občine 212'!$D$4:$D$215)=C467,FALSE)</f>
        <v>0</v>
      </c>
      <c r="H467" t="str">
        <f>_xlfn.IFNA(_xlfn.XLOOKUP(C467,'regije_občine 212'!$D$4:$D$215,'regije_občine 212'!$B$4:$B$215),"")</f>
        <v/>
      </c>
      <c r="I467" s="12" t="str">
        <f t="shared" si="7"/>
        <v/>
      </c>
    </row>
    <row r="468" spans="1:9" x14ac:dyDescent="0.3">
      <c r="A468">
        <v>378</v>
      </c>
      <c r="B468">
        <v>9244</v>
      </c>
      <c r="C468" t="s">
        <v>364</v>
      </c>
      <c r="D468" t="s">
        <v>333</v>
      </c>
      <c r="E468">
        <f>_xlfn.XLOOKUP(D468,Regije!B:B,Regije!A:A)</f>
        <v>1</v>
      </c>
      <c r="F468" t="b">
        <f>_xlfn.IFNA(_xlfn.XLOOKUP(C468,'regije_občine 212'!$D$4:$D$215,'regije_občine 212'!$D$4:$D$215)=C468,FALSE)</f>
        <v>1</v>
      </c>
      <c r="H468" t="str">
        <f>_xlfn.IFNA(_xlfn.XLOOKUP(C468,'regije_občine 212'!$D$4:$D$215,'regije_občine 212'!$B$4:$B$215),"")</f>
        <v>Pomurska</v>
      </c>
      <c r="I468" s="12" t="str">
        <f t="shared" si="7"/>
        <v/>
      </c>
    </row>
    <row r="469" spans="1:9" x14ac:dyDescent="0.3">
      <c r="A469">
        <v>358</v>
      </c>
      <c r="B469">
        <v>9245</v>
      </c>
      <c r="C469" t="s">
        <v>363</v>
      </c>
      <c r="D469" t="s">
        <v>333</v>
      </c>
      <c r="E469">
        <f>_xlfn.XLOOKUP(D469,Regije!B:B,Regije!A:A)</f>
        <v>1</v>
      </c>
      <c r="F469" t="b">
        <f>_xlfn.IFNA(_xlfn.XLOOKUP(C469,'regije_občine 212'!$D$4:$D$215,'regije_občine 212'!$D$4:$D$215)=C469,FALSE)</f>
        <v>0</v>
      </c>
      <c r="H469" t="str">
        <f>_xlfn.IFNA(_xlfn.XLOOKUP(C469,'regije_občine 212'!$D$4:$D$215,'regije_občine 212'!$B$4:$B$215),"")</f>
        <v/>
      </c>
      <c r="I469" s="12" t="str">
        <f t="shared" si="7"/>
        <v/>
      </c>
    </row>
    <row r="470" spans="1:9" x14ac:dyDescent="0.3">
      <c r="A470">
        <v>322</v>
      </c>
      <c r="B470">
        <v>9246</v>
      </c>
      <c r="C470" t="s">
        <v>361</v>
      </c>
      <c r="D470" t="s">
        <v>333</v>
      </c>
      <c r="E470">
        <f>_xlfn.XLOOKUP(D470,Regije!B:B,Regije!A:A)</f>
        <v>1</v>
      </c>
      <c r="F470" t="b">
        <f>_xlfn.IFNA(_xlfn.XLOOKUP(C470,'regije_občine 212'!$D$4:$D$215,'regije_občine 212'!$D$4:$D$215)=C470,FALSE)</f>
        <v>1</v>
      </c>
      <c r="H470" t="str">
        <f>_xlfn.IFNA(_xlfn.XLOOKUP(C470,'regije_občine 212'!$D$4:$D$215,'regije_občine 212'!$B$4:$B$215),"")</f>
        <v>Pomurska</v>
      </c>
      <c r="I470" s="12" t="str">
        <f t="shared" si="7"/>
        <v/>
      </c>
    </row>
    <row r="471" spans="1:9" x14ac:dyDescent="0.3">
      <c r="A471">
        <v>99</v>
      </c>
      <c r="B471">
        <v>9250</v>
      </c>
      <c r="C471" t="s">
        <v>341</v>
      </c>
      <c r="D471" t="s">
        <v>333</v>
      </c>
      <c r="E471">
        <f>_xlfn.XLOOKUP(D471,Regije!B:B,Regije!A:A)</f>
        <v>1</v>
      </c>
      <c r="F471" t="b">
        <f>_xlfn.IFNA(_xlfn.XLOOKUP(C471,'regije_občine 212'!$D$4:$D$215,'regije_občine 212'!$D$4:$D$215)=C471,FALSE)</f>
        <v>1</v>
      </c>
      <c r="H471" t="str">
        <f>_xlfn.IFNA(_xlfn.XLOOKUP(C471,'regije_občine 212'!$D$4:$D$215,'regije_občine 212'!$B$4:$B$215),"")</f>
        <v>Pomurska</v>
      </c>
      <c r="I471" s="12" t="str">
        <f t="shared" si="7"/>
        <v/>
      </c>
    </row>
    <row r="472" spans="1:9" x14ac:dyDescent="0.3">
      <c r="A472">
        <v>414</v>
      </c>
      <c r="B472">
        <v>9251</v>
      </c>
      <c r="C472" t="s">
        <v>366</v>
      </c>
      <c r="D472" t="s">
        <v>333</v>
      </c>
      <c r="E472">
        <f>_xlfn.XLOOKUP(D472,Regije!B:B,Regije!A:A)</f>
        <v>1</v>
      </c>
      <c r="F472" t="b">
        <f>_xlfn.IFNA(_xlfn.XLOOKUP(C472,'regije_občine 212'!$D$4:$D$215,'regije_občine 212'!$D$4:$D$215)=C472,FALSE)</f>
        <v>1</v>
      </c>
      <c r="H472" t="str">
        <f>_xlfn.IFNA(_xlfn.XLOOKUP(C472,'regije_občine 212'!$D$4:$D$215,'regije_občine 212'!$B$4:$B$215),"")</f>
        <v>Pomurska</v>
      </c>
      <c r="I472" s="12" t="str">
        <f t="shared" si="7"/>
        <v/>
      </c>
    </row>
    <row r="473" spans="1:9" x14ac:dyDescent="0.3">
      <c r="A473">
        <v>314</v>
      </c>
      <c r="B473">
        <v>9252</v>
      </c>
      <c r="C473" t="s">
        <v>360</v>
      </c>
      <c r="D473" t="s">
        <v>333</v>
      </c>
      <c r="E473">
        <f>_xlfn.XLOOKUP(D473,Regije!B:B,Regije!A:A)</f>
        <v>1</v>
      </c>
      <c r="F473" t="b">
        <f>_xlfn.IFNA(_xlfn.XLOOKUP(C473,'regije_občine 212'!$D$4:$D$215,'regije_občine 212'!$D$4:$D$215)=C473,FALSE)</f>
        <v>1</v>
      </c>
      <c r="H473" t="str">
        <f>_xlfn.IFNA(_xlfn.XLOOKUP(C473,'regije_občine 212'!$D$4:$D$215,'regije_občine 212'!$B$4:$B$215),"")</f>
        <v>Pomurska</v>
      </c>
      <c r="I473" s="12" t="str">
        <f t="shared" si="7"/>
        <v/>
      </c>
    </row>
    <row r="474" spans="1:9" x14ac:dyDescent="0.3">
      <c r="A474">
        <v>4</v>
      </c>
      <c r="B474">
        <v>9253</v>
      </c>
      <c r="C474" t="s">
        <v>332</v>
      </c>
      <c r="D474" t="s">
        <v>333</v>
      </c>
      <c r="E474">
        <f>_xlfn.XLOOKUP(D474,Regije!B:B,Regije!A:A)</f>
        <v>1</v>
      </c>
      <c r="F474" t="b">
        <f>_xlfn.IFNA(_xlfn.XLOOKUP(C474,'regije_občine 212'!$D$4:$D$215,'regije_občine 212'!$D$4:$D$215)=C474,FALSE)</f>
        <v>1</v>
      </c>
      <c r="H474" t="str">
        <f>_xlfn.IFNA(_xlfn.XLOOKUP(C474,'regije_občine 212'!$D$4:$D$215,'regije_občine 212'!$B$4:$B$215),"")</f>
        <v>Pomurska</v>
      </c>
      <c r="I474" s="12" t="str">
        <f t="shared" si="7"/>
        <v/>
      </c>
    </row>
    <row r="475" spans="1:9" x14ac:dyDescent="0.3">
      <c r="A475">
        <v>37</v>
      </c>
      <c r="B475">
        <v>9261</v>
      </c>
      <c r="C475" t="s">
        <v>337</v>
      </c>
      <c r="D475" t="s">
        <v>333</v>
      </c>
      <c r="E475">
        <f>_xlfn.XLOOKUP(D475,Regije!B:B,Regije!A:A)</f>
        <v>1</v>
      </c>
      <c r="F475" t="b">
        <f>_xlfn.IFNA(_xlfn.XLOOKUP(C475,'regije_občine 212'!$D$4:$D$215,'regije_občine 212'!$D$4:$D$215)=C475,FALSE)</f>
        <v>1</v>
      </c>
      <c r="H475" t="str">
        <f>_xlfn.IFNA(_xlfn.XLOOKUP(C475,'regije_občine 212'!$D$4:$D$215,'regije_občine 212'!$B$4:$B$215),"")</f>
        <v>Pomurska</v>
      </c>
      <c r="I475" s="12" t="str">
        <f t="shared" si="7"/>
        <v/>
      </c>
    </row>
    <row r="476" spans="1:9" x14ac:dyDescent="0.3">
      <c r="A476">
        <v>331</v>
      </c>
      <c r="B476">
        <v>9262</v>
      </c>
      <c r="C476" t="s">
        <v>362</v>
      </c>
      <c r="D476" t="s">
        <v>333</v>
      </c>
      <c r="E476">
        <f>_xlfn.XLOOKUP(D476,Regije!B:B,Regije!A:A)</f>
        <v>1</v>
      </c>
      <c r="F476" t="b">
        <f>_xlfn.IFNA(_xlfn.XLOOKUP(C476,'regije_občine 212'!$D$4:$D$215,'regije_občine 212'!$D$4:$D$215)=C476,FALSE)</f>
        <v>1</v>
      </c>
      <c r="H476" t="str">
        <f>_xlfn.IFNA(_xlfn.XLOOKUP(C476,'regije_občine 212'!$D$4:$D$215,'regije_občine 212'!$B$4:$B$215),"")</f>
        <v>Pomurska</v>
      </c>
      <c r="I476" s="12" t="str">
        <f t="shared" si="7"/>
        <v/>
      </c>
    </row>
    <row r="477" spans="1:9" x14ac:dyDescent="0.3">
      <c r="A477">
        <v>177</v>
      </c>
      <c r="B477">
        <v>9263</v>
      </c>
      <c r="C477" t="s">
        <v>347</v>
      </c>
      <c r="D477" t="s">
        <v>333</v>
      </c>
      <c r="E477">
        <f>_xlfn.XLOOKUP(D477,Regije!B:B,Regije!A:A)</f>
        <v>1</v>
      </c>
      <c r="F477" t="b">
        <f>_xlfn.IFNA(_xlfn.XLOOKUP(C477,'regije_občine 212'!$D$4:$D$215,'regije_občine 212'!$D$4:$D$215)=C477,FALSE)</f>
        <v>1</v>
      </c>
      <c r="H477" t="str">
        <f>_xlfn.IFNA(_xlfn.XLOOKUP(C477,'regije_občine 212'!$D$4:$D$215,'regije_občine 212'!$B$4:$B$215),"")</f>
        <v>Pomurska</v>
      </c>
      <c r="I477" s="12" t="str">
        <f t="shared" si="7"/>
        <v/>
      </c>
    </row>
    <row r="478" spans="1:9" x14ac:dyDescent="0.3">
      <c r="A478">
        <v>103</v>
      </c>
      <c r="B478">
        <v>9264</v>
      </c>
      <c r="C478" t="s">
        <v>342</v>
      </c>
      <c r="D478" t="s">
        <v>333</v>
      </c>
      <c r="E478">
        <f>_xlfn.XLOOKUP(D478,Regije!B:B,Regije!A:A)</f>
        <v>1</v>
      </c>
      <c r="F478" t="b">
        <f>_xlfn.IFNA(_xlfn.XLOOKUP(C478,'regije_občine 212'!$D$4:$D$215,'regije_občine 212'!$D$4:$D$215)=C478,FALSE)</f>
        <v>1</v>
      </c>
      <c r="H478" t="str">
        <f>_xlfn.IFNA(_xlfn.XLOOKUP(C478,'regije_občine 212'!$D$4:$D$215,'regije_občine 212'!$B$4:$B$215),"")</f>
        <v>Pomurska</v>
      </c>
      <c r="I478" s="12" t="str">
        <f t="shared" si="7"/>
        <v/>
      </c>
    </row>
    <row r="479" spans="1:9" x14ac:dyDescent="0.3">
      <c r="A479">
        <v>17</v>
      </c>
      <c r="B479">
        <v>9265</v>
      </c>
      <c r="C479" t="s">
        <v>335</v>
      </c>
      <c r="D479" t="s">
        <v>333</v>
      </c>
      <c r="E479">
        <f>_xlfn.XLOOKUP(D479,Regije!B:B,Regije!A:A)</f>
        <v>1</v>
      </c>
      <c r="F479" t="b">
        <f>_xlfn.IFNA(_xlfn.XLOOKUP(C479,'regije_občine 212'!$D$4:$D$215,'regije_občine 212'!$D$4:$D$215)=C479,FALSE)</f>
        <v>0</v>
      </c>
      <c r="H479" t="str">
        <f>_xlfn.IFNA(_xlfn.XLOOKUP(C479,'regije_občine 212'!$D$4:$D$215,'regije_občine 212'!$B$4:$B$215),"")</f>
        <v/>
      </c>
      <c r="I479" s="12" t="str">
        <f t="shared" si="7"/>
        <v/>
      </c>
    </row>
    <row r="480" spans="1:9" x14ac:dyDescent="0.3">
      <c r="A480">
        <v>480</v>
      </c>
      <c r="B480">
        <v>9991</v>
      </c>
      <c r="C480" t="s">
        <v>485</v>
      </c>
      <c r="D480" t="s">
        <v>486</v>
      </c>
      <c r="E480" t="e">
        <f>_xlfn.XLOOKUP(D480,Regije!B:B,Regije!A:A)</f>
        <v>#N/A</v>
      </c>
      <c r="F480" t="b">
        <f>_xlfn.IFNA(_xlfn.XLOOKUP(C480,'regije_občine 212'!$D$4:$D$215,'regije_občine 212'!$D$4:$D$215)=C480,FALSE)</f>
        <v>0</v>
      </c>
      <c r="H480" t="str">
        <f>_xlfn.IFNA(_xlfn.XLOOKUP(C480,'regije_občine 212'!$D$4:$D$215,'regije_občine 212'!$B$4:$B$215),"")</f>
        <v/>
      </c>
      <c r="I480" s="12" t="str">
        <f t="shared" si="7"/>
        <v/>
      </c>
    </row>
    <row r="481" spans="1:9" x14ac:dyDescent="0.3">
      <c r="A481">
        <v>481</v>
      </c>
      <c r="B481">
        <v>9992</v>
      </c>
      <c r="C481" t="s">
        <v>487</v>
      </c>
      <c r="D481" t="s">
        <v>486</v>
      </c>
      <c r="E481" t="e">
        <f>_xlfn.XLOOKUP(D481,Regije!B:B,Regije!A:A)</f>
        <v>#N/A</v>
      </c>
      <c r="F481" t="b">
        <f>_xlfn.IFNA(_xlfn.XLOOKUP(C481,'regije_občine 212'!$D$4:$D$215,'regije_občine 212'!$D$4:$D$215)=C481,FALSE)</f>
        <v>0</v>
      </c>
      <c r="H481" t="str">
        <f>_xlfn.IFNA(_xlfn.XLOOKUP(C481,'regije_občine 212'!$D$4:$D$215,'regije_občine 212'!$B$4:$B$215),"")</f>
        <v/>
      </c>
      <c r="I481" s="12" t="str">
        <f t="shared" si="7"/>
        <v/>
      </c>
    </row>
    <row r="482" spans="1:9" x14ac:dyDescent="0.3">
      <c r="A482">
        <v>482</v>
      </c>
      <c r="B482">
        <v>9993</v>
      </c>
      <c r="C482" t="s">
        <v>488</v>
      </c>
      <c r="D482" t="s">
        <v>486</v>
      </c>
      <c r="E482" t="e">
        <f>_xlfn.XLOOKUP(D482,Regije!B:B,Regije!A:A)</f>
        <v>#N/A</v>
      </c>
      <c r="F482" t="b">
        <f>_xlfn.IFNA(_xlfn.XLOOKUP(C482,'regije_občine 212'!$D$4:$D$215,'regije_občine 212'!$D$4:$D$215)=C482,FALSE)</f>
        <v>0</v>
      </c>
      <c r="H482" t="str">
        <f>_xlfn.IFNA(_xlfn.XLOOKUP(C482,'regije_občine 212'!$D$4:$D$215,'regije_občine 212'!$B$4:$B$215),"")</f>
        <v/>
      </c>
      <c r="I482" s="12" t="str">
        <f t="shared" si="7"/>
        <v/>
      </c>
    </row>
    <row r="483" spans="1:9" x14ac:dyDescent="0.3">
      <c r="A483">
        <v>483</v>
      </c>
      <c r="B483">
        <v>9994</v>
      </c>
      <c r="C483" t="s">
        <v>489</v>
      </c>
      <c r="D483" t="s">
        <v>486</v>
      </c>
      <c r="E483" t="e">
        <f>_xlfn.XLOOKUP(D483,Regije!B:B,Regije!A:A)</f>
        <v>#N/A</v>
      </c>
      <c r="F483" t="b">
        <f>_xlfn.IFNA(_xlfn.XLOOKUP(C483,'regije_občine 212'!$D$4:$D$215,'regije_občine 212'!$D$4:$D$215)=C483,FALSE)</f>
        <v>0</v>
      </c>
      <c r="H483" t="str">
        <f>_xlfn.IFNA(_xlfn.XLOOKUP(C483,'regije_občine 212'!$D$4:$D$215,'regije_občine 212'!$B$4:$B$215),"")</f>
        <v/>
      </c>
      <c r="I483" s="12" t="str">
        <f t="shared" si="7"/>
        <v/>
      </c>
    </row>
    <row r="484" spans="1:9" x14ac:dyDescent="0.3">
      <c r="A484">
        <v>479</v>
      </c>
      <c r="B484">
        <v>9999</v>
      </c>
      <c r="C484" t="s">
        <v>483</v>
      </c>
      <c r="D484" t="s">
        <v>484</v>
      </c>
      <c r="E484" t="e">
        <f>_xlfn.XLOOKUP(D484,Regije!B:B,Regije!A:A)</f>
        <v>#N/A</v>
      </c>
      <c r="F484" t="b">
        <f>_xlfn.IFNA(_xlfn.XLOOKUP(C484,'regije_občine 212'!$D$4:$D$215,'regije_občine 212'!$D$4:$D$215)=C484,FALSE)</f>
        <v>0</v>
      </c>
      <c r="H484" t="str">
        <f>_xlfn.IFNA(_xlfn.XLOOKUP(C484,'regije_občine 212'!$D$4:$D$215,'regije_občine 212'!$B$4:$B$215),"")</f>
        <v/>
      </c>
      <c r="I484" s="12" t="str">
        <f t="shared" si="7"/>
        <v/>
      </c>
    </row>
  </sheetData>
  <sortState xmlns:xlrd2="http://schemas.microsoft.com/office/spreadsheetml/2017/richdata2" ref="A2:E484">
    <sortCondition ref="B202:B484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4BFE-C2D7-412A-A437-3169653CCC05}">
  <dimension ref="A1:F13"/>
  <sheetViews>
    <sheetView workbookViewId="0">
      <selection activeCell="E13" sqref="E13"/>
    </sheetView>
  </sheetViews>
  <sheetFormatPr defaultRowHeight="14.4" x14ac:dyDescent="0.3"/>
  <cols>
    <col min="5" max="5" width="18.6640625" bestFit="1" customWidth="1"/>
  </cols>
  <sheetData>
    <row r="1" spans="1:6" x14ac:dyDescent="0.3">
      <c r="A1" t="s">
        <v>0</v>
      </c>
      <c r="B1" t="s">
        <v>2</v>
      </c>
      <c r="E1" t="s">
        <v>500</v>
      </c>
      <c r="F1" t="s">
        <v>501</v>
      </c>
    </row>
    <row r="2" spans="1:6" x14ac:dyDescent="0.3">
      <c r="A2">
        <v>9</v>
      </c>
      <c r="B2" t="s">
        <v>6</v>
      </c>
      <c r="E2" t="s">
        <v>6</v>
      </c>
      <c r="F2">
        <v>45</v>
      </c>
    </row>
    <row r="3" spans="1:6" x14ac:dyDescent="0.3">
      <c r="A3">
        <v>11</v>
      </c>
      <c r="B3" t="s">
        <v>52</v>
      </c>
      <c r="E3" t="s">
        <v>52</v>
      </c>
      <c r="F3">
        <v>43</v>
      </c>
    </row>
    <row r="4" spans="1:6" x14ac:dyDescent="0.3">
      <c r="A4">
        <v>7</v>
      </c>
      <c r="B4" t="s">
        <v>96</v>
      </c>
      <c r="E4" t="s">
        <v>96</v>
      </c>
      <c r="F4">
        <v>47</v>
      </c>
    </row>
    <row r="5" spans="1:6" x14ac:dyDescent="0.3">
      <c r="A5">
        <v>3</v>
      </c>
      <c r="B5" t="s">
        <v>143</v>
      </c>
      <c r="E5" t="s">
        <v>143</v>
      </c>
      <c r="F5">
        <v>19</v>
      </c>
    </row>
    <row r="6" spans="1:6" x14ac:dyDescent="0.3">
      <c r="A6">
        <v>12</v>
      </c>
      <c r="B6" t="s">
        <v>163</v>
      </c>
      <c r="E6" t="s">
        <v>163</v>
      </c>
      <c r="F6">
        <v>27</v>
      </c>
    </row>
    <row r="7" spans="1:6" x14ac:dyDescent="0.3">
      <c r="A7">
        <v>8</v>
      </c>
      <c r="B7" t="s">
        <v>191</v>
      </c>
      <c r="E7" t="s">
        <v>191</v>
      </c>
      <c r="F7">
        <v>61</v>
      </c>
    </row>
    <row r="8" spans="1:6" x14ac:dyDescent="0.3">
      <c r="A8">
        <v>2</v>
      </c>
      <c r="B8" t="s">
        <v>253</v>
      </c>
      <c r="E8" t="s">
        <v>253</v>
      </c>
      <c r="F8">
        <v>79</v>
      </c>
    </row>
    <row r="9" spans="1:6" x14ac:dyDescent="0.3">
      <c r="A9">
        <v>1</v>
      </c>
      <c r="B9" t="s">
        <v>333</v>
      </c>
      <c r="E9" t="s">
        <v>333</v>
      </c>
      <c r="F9">
        <v>37</v>
      </c>
    </row>
    <row r="10" spans="1:6" x14ac:dyDescent="0.3">
      <c r="A10">
        <v>6</v>
      </c>
      <c r="B10" t="s">
        <v>371</v>
      </c>
      <c r="E10" t="s">
        <v>371</v>
      </c>
      <c r="F10">
        <v>30</v>
      </c>
    </row>
    <row r="11" spans="1:6" x14ac:dyDescent="0.3">
      <c r="A11">
        <v>10</v>
      </c>
      <c r="B11" t="s">
        <v>402</v>
      </c>
      <c r="E11" t="s">
        <v>402</v>
      </c>
      <c r="F11">
        <v>17</v>
      </c>
    </row>
    <row r="12" spans="1:6" x14ac:dyDescent="0.3">
      <c r="A12">
        <v>4</v>
      </c>
      <c r="B12" t="s">
        <v>420</v>
      </c>
      <c r="E12" t="s">
        <v>420</v>
      </c>
      <c r="F12">
        <v>64</v>
      </c>
    </row>
    <row r="13" spans="1:6" x14ac:dyDescent="0.3">
      <c r="A13">
        <v>5</v>
      </c>
      <c r="B13" t="s">
        <v>491</v>
      </c>
      <c r="E13" t="s">
        <v>491</v>
      </c>
      <c r="F13">
        <v>9</v>
      </c>
    </row>
  </sheetData>
  <sortState xmlns:xlrd2="http://schemas.microsoft.com/office/spreadsheetml/2017/richdata2" ref="E2:F13">
    <sortCondition ref="E2:E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23F0-417E-4866-B420-1844944B75FF}">
  <dimension ref="A1:D215"/>
  <sheetViews>
    <sheetView topLeftCell="A190" zoomScaleNormal="100" workbookViewId="0">
      <selection activeCell="D2" sqref="D1:D1048576"/>
    </sheetView>
  </sheetViews>
  <sheetFormatPr defaultColWidth="10" defaultRowHeight="13.2" x14ac:dyDescent="0.25"/>
  <cols>
    <col min="1" max="1" width="9.109375" style="1" customWidth="1"/>
    <col min="2" max="2" width="21.6640625" style="1" customWidth="1"/>
    <col min="3" max="3" width="6.33203125" style="1" customWidth="1"/>
    <col min="4" max="4" width="26.88671875" style="1" customWidth="1"/>
    <col min="5" max="5" width="6.44140625" style="1" customWidth="1"/>
    <col min="6" max="6" width="22.44140625" style="1" bestFit="1" customWidth="1"/>
    <col min="7" max="7" width="6.21875" style="1" bestFit="1" customWidth="1"/>
    <col min="8" max="8" width="30" style="1" customWidth="1"/>
    <col min="9" max="9" width="6.21875" style="1" customWidth="1"/>
    <col min="10" max="10" width="17.5546875" style="1" customWidth="1"/>
    <col min="11" max="11" width="4.109375" style="1" customWidth="1"/>
    <col min="12" max="12" width="11.33203125" style="1" bestFit="1" customWidth="1"/>
    <col min="13" max="16384" width="10" style="1"/>
  </cols>
  <sheetData>
    <row r="1" spans="1:4" s="7" customFormat="1" ht="24.75" customHeight="1" x14ac:dyDescent="0.3">
      <c r="A1" s="9" t="s">
        <v>647</v>
      </c>
      <c r="B1" s="8"/>
      <c r="C1" s="8"/>
      <c r="D1" s="8"/>
    </row>
    <row r="2" spans="1:4" x14ac:dyDescent="0.25">
      <c r="A2" s="6"/>
      <c r="B2" s="6"/>
      <c r="C2" s="6"/>
      <c r="D2" s="6"/>
    </row>
    <row r="3" spans="1:4" ht="43.5" customHeight="1" x14ac:dyDescent="0.25">
      <c r="A3" s="5" t="s">
        <v>646</v>
      </c>
      <c r="B3" s="4" t="s">
        <v>645</v>
      </c>
      <c r="C3" s="5" t="s">
        <v>644</v>
      </c>
      <c r="D3" s="4" t="s">
        <v>643</v>
      </c>
    </row>
    <row r="4" spans="1:4" ht="13.8" x14ac:dyDescent="0.25">
      <c r="A4" s="3" t="s">
        <v>627</v>
      </c>
      <c r="B4" s="2" t="s">
        <v>333</v>
      </c>
      <c r="C4" s="3" t="s">
        <v>642</v>
      </c>
      <c r="D4" s="2" t="s">
        <v>334</v>
      </c>
    </row>
    <row r="5" spans="1:4" ht="13.8" x14ac:dyDescent="0.25">
      <c r="A5" s="3" t="s">
        <v>627</v>
      </c>
      <c r="B5" s="2" t="s">
        <v>333</v>
      </c>
      <c r="C5" s="3" t="s">
        <v>641</v>
      </c>
      <c r="D5" s="2" t="s">
        <v>366</v>
      </c>
    </row>
    <row r="6" spans="1:4" ht="13.8" x14ac:dyDescent="0.25">
      <c r="A6" s="3" t="s">
        <v>627</v>
      </c>
      <c r="B6" s="2" t="s">
        <v>333</v>
      </c>
      <c r="C6" s="3" t="s">
        <v>640</v>
      </c>
      <c r="D6" s="2" t="s">
        <v>338</v>
      </c>
    </row>
    <row r="7" spans="1:4" ht="13.8" x14ac:dyDescent="0.25">
      <c r="A7" s="3" t="s">
        <v>627</v>
      </c>
      <c r="B7" s="2" t="s">
        <v>333</v>
      </c>
      <c r="C7" s="3" t="s">
        <v>639</v>
      </c>
      <c r="D7" s="2" t="s">
        <v>341</v>
      </c>
    </row>
    <row r="8" spans="1:4" ht="13.8" x14ac:dyDescent="0.25">
      <c r="A8" s="3" t="s">
        <v>627</v>
      </c>
      <c r="B8" s="2" t="s">
        <v>333</v>
      </c>
      <c r="C8" s="3" t="s">
        <v>638</v>
      </c>
      <c r="D8" s="2" t="s">
        <v>637</v>
      </c>
    </row>
    <row r="9" spans="1:4" ht="13.8" x14ac:dyDescent="0.25">
      <c r="A9" s="3" t="s">
        <v>627</v>
      </c>
      <c r="B9" s="2" t="s">
        <v>333</v>
      </c>
      <c r="C9" s="3" t="s">
        <v>636</v>
      </c>
      <c r="D9" s="2" t="s">
        <v>365</v>
      </c>
    </row>
    <row r="10" spans="1:4" ht="13.8" x14ac:dyDescent="0.25">
      <c r="A10" s="3" t="s">
        <v>627</v>
      </c>
      <c r="B10" s="2" t="s">
        <v>333</v>
      </c>
      <c r="C10" s="3" t="s">
        <v>635</v>
      </c>
      <c r="D10" s="2" t="s">
        <v>344</v>
      </c>
    </row>
    <row r="11" spans="1:4" ht="13.8" x14ac:dyDescent="0.25">
      <c r="A11" s="3" t="s">
        <v>627</v>
      </c>
      <c r="B11" s="2" t="s">
        <v>333</v>
      </c>
      <c r="C11" s="3" t="s">
        <v>634</v>
      </c>
      <c r="D11" s="2" t="s">
        <v>347</v>
      </c>
    </row>
    <row r="12" spans="1:4" ht="13.8" x14ac:dyDescent="0.25">
      <c r="A12" s="3" t="s">
        <v>627</v>
      </c>
      <c r="B12" s="2" t="s">
        <v>333</v>
      </c>
      <c r="C12" s="3" t="s">
        <v>633</v>
      </c>
      <c r="D12" s="2" t="s">
        <v>348</v>
      </c>
    </row>
    <row r="13" spans="1:4" ht="13.8" x14ac:dyDescent="0.25">
      <c r="A13" s="3" t="s">
        <v>627</v>
      </c>
      <c r="B13" s="2" t="s">
        <v>333</v>
      </c>
      <c r="C13" s="3" t="s">
        <v>632</v>
      </c>
      <c r="D13" s="2" t="s">
        <v>349</v>
      </c>
    </row>
    <row r="14" spans="1:4" ht="13.8" x14ac:dyDescent="0.25">
      <c r="A14" s="3" t="s">
        <v>627</v>
      </c>
      <c r="B14" s="2" t="s">
        <v>333</v>
      </c>
      <c r="C14" s="3" t="s">
        <v>631</v>
      </c>
      <c r="D14" s="2" t="s">
        <v>353</v>
      </c>
    </row>
    <row r="15" spans="1:4" ht="13.8" x14ac:dyDescent="0.25">
      <c r="A15" s="3" t="s">
        <v>627</v>
      </c>
      <c r="B15" s="2" t="s">
        <v>333</v>
      </c>
      <c r="C15" s="3" t="s">
        <v>630</v>
      </c>
      <c r="D15" s="2" t="s">
        <v>354</v>
      </c>
    </row>
    <row r="16" spans="1:4" ht="13.8" x14ac:dyDescent="0.25">
      <c r="A16" s="3" t="s">
        <v>627</v>
      </c>
      <c r="B16" s="2" t="s">
        <v>333</v>
      </c>
      <c r="C16" s="3" t="s">
        <v>629</v>
      </c>
      <c r="D16" s="2" t="s">
        <v>356</v>
      </c>
    </row>
    <row r="17" spans="1:4" ht="13.8" x14ac:dyDescent="0.25">
      <c r="A17" s="3" t="s">
        <v>627</v>
      </c>
      <c r="B17" s="2" t="s">
        <v>333</v>
      </c>
      <c r="C17" s="3" t="s">
        <v>628</v>
      </c>
      <c r="D17" s="2" t="s">
        <v>359</v>
      </c>
    </row>
    <row r="18" spans="1:4" ht="13.8" x14ac:dyDescent="0.25">
      <c r="A18" s="3" t="s">
        <v>627</v>
      </c>
      <c r="B18" s="2" t="s">
        <v>333</v>
      </c>
      <c r="C18" s="3">
        <v>100</v>
      </c>
      <c r="D18" s="2" t="s">
        <v>360</v>
      </c>
    </row>
    <row r="19" spans="1:4" ht="13.8" x14ac:dyDescent="0.25">
      <c r="A19" s="3" t="s">
        <v>627</v>
      </c>
      <c r="B19" s="2" t="s">
        <v>333</v>
      </c>
      <c r="C19" s="3">
        <v>105</v>
      </c>
      <c r="D19" s="2" t="s">
        <v>362</v>
      </c>
    </row>
    <row r="20" spans="1:4" ht="13.8" x14ac:dyDescent="0.25">
      <c r="A20" s="3" t="s">
        <v>627</v>
      </c>
      <c r="B20" s="2" t="s">
        <v>333</v>
      </c>
      <c r="C20" s="3">
        <v>116</v>
      </c>
      <c r="D20" s="2" t="s">
        <v>364</v>
      </c>
    </row>
    <row r="21" spans="1:4" ht="13.8" x14ac:dyDescent="0.25">
      <c r="A21" s="3" t="s">
        <v>627</v>
      </c>
      <c r="B21" s="2" t="s">
        <v>333</v>
      </c>
      <c r="C21" s="3">
        <v>132</v>
      </c>
      <c r="D21" s="2" t="s">
        <v>367</v>
      </c>
    </row>
    <row r="22" spans="1:4" ht="13.8" x14ac:dyDescent="0.25">
      <c r="A22" s="3" t="s">
        <v>627</v>
      </c>
      <c r="B22" s="2" t="s">
        <v>333</v>
      </c>
      <c r="C22" s="3">
        <v>152</v>
      </c>
      <c r="D22" s="2" t="s">
        <v>337</v>
      </c>
    </row>
    <row r="23" spans="1:4" ht="13.8" x14ac:dyDescent="0.25">
      <c r="A23" s="3" t="s">
        <v>627</v>
      </c>
      <c r="B23" s="2" t="s">
        <v>333</v>
      </c>
      <c r="C23" s="3">
        <v>156</v>
      </c>
      <c r="D23" s="2" t="s">
        <v>339</v>
      </c>
    </row>
    <row r="24" spans="1:4" ht="13.8" x14ac:dyDescent="0.25">
      <c r="A24" s="3" t="s">
        <v>627</v>
      </c>
      <c r="B24" s="2" t="s">
        <v>333</v>
      </c>
      <c r="C24" s="3">
        <v>158</v>
      </c>
      <c r="D24" s="2" t="s">
        <v>342</v>
      </c>
    </row>
    <row r="25" spans="1:4" ht="13.8" x14ac:dyDescent="0.25">
      <c r="A25" s="3" t="s">
        <v>627</v>
      </c>
      <c r="B25" s="2" t="s">
        <v>333</v>
      </c>
      <c r="C25" s="3">
        <v>161</v>
      </c>
      <c r="D25" s="2" t="s">
        <v>343</v>
      </c>
    </row>
    <row r="26" spans="1:4" ht="13.8" x14ac:dyDescent="0.25">
      <c r="A26" s="3" t="s">
        <v>627</v>
      </c>
      <c r="B26" s="2" t="s">
        <v>333</v>
      </c>
      <c r="C26" s="3">
        <v>166</v>
      </c>
      <c r="D26" s="2" t="s">
        <v>345</v>
      </c>
    </row>
    <row r="27" spans="1:4" ht="13.8" x14ac:dyDescent="0.25">
      <c r="A27" s="3" t="s">
        <v>627</v>
      </c>
      <c r="B27" s="2" t="s">
        <v>333</v>
      </c>
      <c r="C27" s="3">
        <v>176</v>
      </c>
      <c r="D27" s="2" t="s">
        <v>361</v>
      </c>
    </row>
    <row r="28" spans="1:4" ht="13.8" x14ac:dyDescent="0.25">
      <c r="A28" s="3" t="s">
        <v>627</v>
      </c>
      <c r="B28" s="2" t="s">
        <v>333</v>
      </c>
      <c r="C28" s="3">
        <v>187</v>
      </c>
      <c r="D28" s="2" t="s">
        <v>368</v>
      </c>
    </row>
    <row r="29" spans="1:4" ht="13.8" x14ac:dyDescent="0.25">
      <c r="A29" s="3" t="s">
        <v>627</v>
      </c>
      <c r="B29" s="2" t="s">
        <v>333</v>
      </c>
      <c r="C29" s="3">
        <v>188</v>
      </c>
      <c r="D29" s="2" t="s">
        <v>369</v>
      </c>
    </row>
    <row r="30" spans="1:4" ht="13.8" x14ac:dyDescent="0.25">
      <c r="A30" s="3" t="s">
        <v>627</v>
      </c>
      <c r="B30" s="2" t="s">
        <v>333</v>
      </c>
      <c r="C30" s="3">
        <v>195</v>
      </c>
      <c r="D30" s="2" t="s">
        <v>332</v>
      </c>
    </row>
    <row r="31" spans="1:4" ht="13.8" x14ac:dyDescent="0.25">
      <c r="A31" s="3" t="s">
        <v>601</v>
      </c>
      <c r="B31" s="2" t="s">
        <v>253</v>
      </c>
      <c r="C31" s="3" t="s">
        <v>626</v>
      </c>
      <c r="D31" s="2" t="s">
        <v>260</v>
      </c>
    </row>
    <row r="32" spans="1:4" ht="13.8" x14ac:dyDescent="0.25">
      <c r="A32" s="3" t="s">
        <v>601</v>
      </c>
      <c r="B32" s="2" t="s">
        <v>253</v>
      </c>
      <c r="C32" s="3" t="s">
        <v>625</v>
      </c>
      <c r="D32" s="2" t="s">
        <v>261</v>
      </c>
    </row>
    <row r="33" spans="1:4" ht="13.8" x14ac:dyDescent="0.25">
      <c r="A33" s="3" t="s">
        <v>601</v>
      </c>
      <c r="B33" s="2" t="s">
        <v>253</v>
      </c>
      <c r="C33" s="3" t="s">
        <v>624</v>
      </c>
      <c r="D33" s="2" t="s">
        <v>623</v>
      </c>
    </row>
    <row r="34" spans="1:4" ht="13.8" x14ac:dyDescent="0.25">
      <c r="A34" s="3" t="s">
        <v>601</v>
      </c>
      <c r="B34" s="2" t="s">
        <v>253</v>
      </c>
      <c r="C34" s="3" t="s">
        <v>622</v>
      </c>
      <c r="D34" s="2" t="s">
        <v>264</v>
      </c>
    </row>
    <row r="35" spans="1:4" ht="13.8" x14ac:dyDescent="0.25">
      <c r="A35" s="3" t="s">
        <v>601</v>
      </c>
      <c r="B35" s="2" t="s">
        <v>253</v>
      </c>
      <c r="C35" s="3" t="s">
        <v>621</v>
      </c>
      <c r="D35" s="2" t="s">
        <v>271</v>
      </c>
    </row>
    <row r="36" spans="1:4" ht="13.8" x14ac:dyDescent="0.25">
      <c r="A36" s="3" t="s">
        <v>601</v>
      </c>
      <c r="B36" s="2" t="s">
        <v>253</v>
      </c>
      <c r="C36" s="3" t="s">
        <v>620</v>
      </c>
      <c r="D36" s="2" t="s">
        <v>274</v>
      </c>
    </row>
    <row r="37" spans="1:4" ht="13.8" x14ac:dyDescent="0.25">
      <c r="A37" s="3" t="s">
        <v>601</v>
      </c>
      <c r="B37" s="2" t="s">
        <v>253</v>
      </c>
      <c r="C37" s="3" t="s">
        <v>619</v>
      </c>
      <c r="D37" s="2" t="s">
        <v>618</v>
      </c>
    </row>
    <row r="38" spans="1:4" ht="13.8" x14ac:dyDescent="0.25">
      <c r="A38" s="3" t="s">
        <v>601</v>
      </c>
      <c r="B38" s="2" t="s">
        <v>253</v>
      </c>
      <c r="C38" s="3" t="s">
        <v>617</v>
      </c>
      <c r="D38" s="2" t="s">
        <v>616</v>
      </c>
    </row>
    <row r="39" spans="1:4" ht="13.8" x14ac:dyDescent="0.25">
      <c r="A39" s="3" t="s">
        <v>601</v>
      </c>
      <c r="B39" s="2" t="s">
        <v>253</v>
      </c>
      <c r="C39" s="3" t="s">
        <v>615</v>
      </c>
      <c r="D39" s="2" t="s">
        <v>281</v>
      </c>
    </row>
    <row r="40" spans="1:4" ht="13.8" x14ac:dyDescent="0.25">
      <c r="A40" s="3" t="s">
        <v>601</v>
      </c>
      <c r="B40" s="2" t="s">
        <v>253</v>
      </c>
      <c r="C40" s="3" t="s">
        <v>614</v>
      </c>
      <c r="D40" s="2" t="s">
        <v>284</v>
      </c>
    </row>
    <row r="41" spans="1:4" ht="13.8" x14ac:dyDescent="0.25">
      <c r="A41" s="3" t="s">
        <v>601</v>
      </c>
      <c r="B41" s="2" t="s">
        <v>253</v>
      </c>
      <c r="C41" s="3" t="s">
        <v>613</v>
      </c>
      <c r="D41" s="2" t="s">
        <v>292</v>
      </c>
    </row>
    <row r="42" spans="1:4" ht="13.8" x14ac:dyDescent="0.25">
      <c r="A42" s="3" t="s">
        <v>601</v>
      </c>
      <c r="B42" s="2" t="s">
        <v>253</v>
      </c>
      <c r="C42" s="3" t="s">
        <v>612</v>
      </c>
      <c r="D42" s="2" t="s">
        <v>611</v>
      </c>
    </row>
    <row r="43" spans="1:4" ht="13.8" x14ac:dyDescent="0.25">
      <c r="A43" s="3" t="s">
        <v>601</v>
      </c>
      <c r="B43" s="2" t="s">
        <v>253</v>
      </c>
      <c r="C43" s="3" t="s">
        <v>610</v>
      </c>
      <c r="D43" s="2" t="s">
        <v>302</v>
      </c>
    </row>
    <row r="44" spans="1:4" ht="13.8" x14ac:dyDescent="0.25">
      <c r="A44" s="3" t="s">
        <v>601</v>
      </c>
      <c r="B44" s="2" t="s">
        <v>253</v>
      </c>
      <c r="C44" s="3" t="s">
        <v>609</v>
      </c>
      <c r="D44" s="2" t="s">
        <v>608</v>
      </c>
    </row>
    <row r="45" spans="1:4" ht="13.8" x14ac:dyDescent="0.25">
      <c r="A45" s="3" t="s">
        <v>601</v>
      </c>
      <c r="B45" s="2" t="s">
        <v>253</v>
      </c>
      <c r="C45" s="3">
        <v>108</v>
      </c>
      <c r="D45" s="2" t="s">
        <v>305</v>
      </c>
    </row>
    <row r="46" spans="1:4" ht="13.8" x14ac:dyDescent="0.25">
      <c r="A46" s="3" t="s">
        <v>601</v>
      </c>
      <c r="B46" s="2" t="s">
        <v>253</v>
      </c>
      <c r="C46" s="3">
        <v>113</v>
      </c>
      <c r="D46" s="2" t="s">
        <v>308</v>
      </c>
    </row>
    <row r="47" spans="1:4" ht="13.8" x14ac:dyDescent="0.25">
      <c r="A47" s="3" t="s">
        <v>601</v>
      </c>
      <c r="B47" s="2" t="s">
        <v>253</v>
      </c>
      <c r="C47" s="3">
        <v>115</v>
      </c>
      <c r="D47" s="2" t="s">
        <v>311</v>
      </c>
    </row>
    <row r="48" spans="1:4" ht="13.8" x14ac:dyDescent="0.25">
      <c r="A48" s="3" t="s">
        <v>601</v>
      </c>
      <c r="B48" s="2" t="s">
        <v>253</v>
      </c>
      <c r="C48" s="3">
        <v>118</v>
      </c>
      <c r="D48" s="2" t="s">
        <v>607</v>
      </c>
    </row>
    <row r="49" spans="1:4" ht="13.8" x14ac:dyDescent="0.25">
      <c r="A49" s="3" t="s">
        <v>601</v>
      </c>
      <c r="B49" s="2" t="s">
        <v>253</v>
      </c>
      <c r="C49" s="3">
        <v>135</v>
      </c>
      <c r="D49" s="2" t="s">
        <v>606</v>
      </c>
    </row>
    <row r="50" spans="1:4" ht="13.8" x14ac:dyDescent="0.25">
      <c r="A50" s="3" t="s">
        <v>601</v>
      </c>
      <c r="B50" s="2" t="s">
        <v>253</v>
      </c>
      <c r="C50" s="3">
        <v>143</v>
      </c>
      <c r="D50" s="2" t="s">
        <v>324</v>
      </c>
    </row>
    <row r="51" spans="1:4" ht="13.8" x14ac:dyDescent="0.25">
      <c r="A51" s="3" t="s">
        <v>601</v>
      </c>
      <c r="B51" s="2" t="s">
        <v>253</v>
      </c>
      <c r="C51" s="3">
        <v>148</v>
      </c>
      <c r="D51" s="2" t="s">
        <v>252</v>
      </c>
    </row>
    <row r="52" spans="1:4" ht="13.8" x14ac:dyDescent="0.25">
      <c r="A52" s="3" t="s">
        <v>601</v>
      </c>
      <c r="B52" s="2" t="s">
        <v>253</v>
      </c>
      <c r="C52" s="3">
        <v>153</v>
      </c>
      <c r="D52" s="2" t="s">
        <v>256</v>
      </c>
    </row>
    <row r="53" spans="1:4" ht="13.8" x14ac:dyDescent="0.25">
      <c r="A53" s="3" t="s">
        <v>601</v>
      </c>
      <c r="B53" s="2" t="s">
        <v>253</v>
      </c>
      <c r="C53" s="3">
        <v>159</v>
      </c>
      <c r="D53" s="2" t="s">
        <v>265</v>
      </c>
    </row>
    <row r="54" spans="1:4" ht="13.8" x14ac:dyDescent="0.25">
      <c r="A54" s="3" t="s">
        <v>601</v>
      </c>
      <c r="B54" s="2" t="s">
        <v>253</v>
      </c>
      <c r="C54" s="3">
        <v>160</v>
      </c>
      <c r="D54" s="2" t="s">
        <v>605</v>
      </c>
    </row>
    <row r="55" spans="1:4" ht="13.8" x14ac:dyDescent="0.25">
      <c r="A55" s="3" t="s">
        <v>601</v>
      </c>
      <c r="B55" s="2" t="s">
        <v>253</v>
      </c>
      <c r="C55" s="3">
        <v>167</v>
      </c>
      <c r="D55" s="2" t="s">
        <v>280</v>
      </c>
    </row>
    <row r="56" spans="1:4" ht="13.8" x14ac:dyDescent="0.25">
      <c r="A56" s="3" t="s">
        <v>601</v>
      </c>
      <c r="B56" s="2" t="s">
        <v>253</v>
      </c>
      <c r="C56" s="3">
        <v>168</v>
      </c>
      <c r="D56" s="2" t="s">
        <v>287</v>
      </c>
    </row>
    <row r="57" spans="1:4" ht="13.8" x14ac:dyDescent="0.25">
      <c r="A57" s="3" t="s">
        <v>601</v>
      </c>
      <c r="B57" s="2" t="s">
        <v>253</v>
      </c>
      <c r="C57" s="3">
        <v>169</v>
      </c>
      <c r="D57" s="2" t="s">
        <v>288</v>
      </c>
    </row>
    <row r="58" spans="1:4" ht="13.8" x14ac:dyDescent="0.25">
      <c r="A58" s="3" t="s">
        <v>601</v>
      </c>
      <c r="B58" s="2" t="s">
        <v>253</v>
      </c>
      <c r="C58" s="3">
        <v>171</v>
      </c>
      <c r="D58" s="2" t="s">
        <v>290</v>
      </c>
    </row>
    <row r="59" spans="1:4" ht="13.8" x14ac:dyDescent="0.25">
      <c r="A59" s="3" t="s">
        <v>601</v>
      </c>
      <c r="B59" s="2" t="s">
        <v>253</v>
      </c>
      <c r="C59" s="3">
        <v>172</v>
      </c>
      <c r="D59" s="2" t="s">
        <v>297</v>
      </c>
    </row>
    <row r="60" spans="1:4" ht="13.8" x14ac:dyDescent="0.25">
      <c r="A60" s="3" t="s">
        <v>601</v>
      </c>
      <c r="B60" s="2" t="s">
        <v>253</v>
      </c>
      <c r="C60" s="3">
        <v>178</v>
      </c>
      <c r="D60" s="2" t="s">
        <v>306</v>
      </c>
    </row>
    <row r="61" spans="1:4" ht="13.8" x14ac:dyDescent="0.25">
      <c r="A61" s="3" t="s">
        <v>601</v>
      </c>
      <c r="B61" s="2" t="s">
        <v>253</v>
      </c>
      <c r="C61" s="3">
        <v>181</v>
      </c>
      <c r="D61" s="2" t="s">
        <v>604</v>
      </c>
    </row>
    <row r="62" spans="1:4" ht="13.8" x14ac:dyDescent="0.25">
      <c r="A62" s="3" t="s">
        <v>601</v>
      </c>
      <c r="B62" s="2" t="s">
        <v>253</v>
      </c>
      <c r="C62" s="3">
        <v>182</v>
      </c>
      <c r="D62" s="2" t="s">
        <v>603</v>
      </c>
    </row>
    <row r="63" spans="1:4" ht="13.8" x14ac:dyDescent="0.25">
      <c r="A63" s="3" t="s">
        <v>601</v>
      </c>
      <c r="B63" s="2" t="s">
        <v>253</v>
      </c>
      <c r="C63" s="3">
        <v>185</v>
      </c>
      <c r="D63" s="2" t="s">
        <v>319</v>
      </c>
    </row>
    <row r="64" spans="1:4" ht="13.8" x14ac:dyDescent="0.25">
      <c r="A64" s="3" t="s">
        <v>601</v>
      </c>
      <c r="B64" s="2" t="s">
        <v>253</v>
      </c>
      <c r="C64" s="3">
        <v>191</v>
      </c>
      <c r="D64" s="2" t="s">
        <v>331</v>
      </c>
    </row>
    <row r="65" spans="1:4" ht="13.8" x14ac:dyDescent="0.25">
      <c r="A65" s="3" t="s">
        <v>601</v>
      </c>
      <c r="B65" s="2" t="s">
        <v>253</v>
      </c>
      <c r="C65" s="3">
        <v>196</v>
      </c>
      <c r="D65" s="2" t="s">
        <v>259</v>
      </c>
    </row>
    <row r="66" spans="1:4" ht="13.8" x14ac:dyDescent="0.25">
      <c r="A66" s="3" t="s">
        <v>601</v>
      </c>
      <c r="B66" s="2" t="s">
        <v>253</v>
      </c>
      <c r="C66" s="3">
        <v>198</v>
      </c>
      <c r="D66" s="2" t="s">
        <v>282</v>
      </c>
    </row>
    <row r="67" spans="1:4" ht="13.8" x14ac:dyDescent="0.25">
      <c r="A67" s="3" t="s">
        <v>601</v>
      </c>
      <c r="B67" s="2" t="s">
        <v>253</v>
      </c>
      <c r="C67" s="3">
        <v>200</v>
      </c>
      <c r="D67" s="2" t="s">
        <v>300</v>
      </c>
    </row>
    <row r="68" spans="1:4" ht="13.8" x14ac:dyDescent="0.25">
      <c r="A68" s="3" t="s">
        <v>601</v>
      </c>
      <c r="B68" s="2" t="s">
        <v>253</v>
      </c>
      <c r="C68" s="3">
        <v>202</v>
      </c>
      <c r="D68" s="2" t="s">
        <v>310</v>
      </c>
    </row>
    <row r="69" spans="1:4" ht="13.8" x14ac:dyDescent="0.25">
      <c r="A69" s="3" t="s">
        <v>601</v>
      </c>
      <c r="B69" s="2" t="s">
        <v>253</v>
      </c>
      <c r="C69" s="3">
        <v>204</v>
      </c>
      <c r="D69" s="2" t="s">
        <v>602</v>
      </c>
    </row>
    <row r="70" spans="1:4" ht="13.8" x14ac:dyDescent="0.25">
      <c r="A70" s="3" t="s">
        <v>601</v>
      </c>
      <c r="B70" s="2" t="s">
        <v>253</v>
      </c>
      <c r="C70" s="3">
        <v>205</v>
      </c>
      <c r="D70" s="2" t="s">
        <v>316</v>
      </c>
    </row>
    <row r="71" spans="1:4" ht="13.8" x14ac:dyDescent="0.25">
      <c r="A71" s="3" t="s">
        <v>601</v>
      </c>
      <c r="B71" s="2" t="s">
        <v>253</v>
      </c>
      <c r="C71" s="3">
        <v>210</v>
      </c>
      <c r="D71" s="2" t="s">
        <v>600</v>
      </c>
    </row>
    <row r="72" spans="1:4" ht="13.8" x14ac:dyDescent="0.25">
      <c r="A72" s="3" t="s">
        <v>593</v>
      </c>
      <c r="B72" s="2" t="s">
        <v>143</v>
      </c>
      <c r="C72" s="3" t="s">
        <v>599</v>
      </c>
      <c r="D72" s="2" t="s">
        <v>142</v>
      </c>
    </row>
    <row r="73" spans="1:4" ht="13.8" x14ac:dyDescent="0.25">
      <c r="A73" s="3" t="s">
        <v>593</v>
      </c>
      <c r="B73" s="2" t="s">
        <v>143</v>
      </c>
      <c r="C73" s="3" t="s">
        <v>598</v>
      </c>
      <c r="D73" s="2" t="s">
        <v>144</v>
      </c>
    </row>
    <row r="74" spans="1:4" ht="13.8" x14ac:dyDescent="0.25">
      <c r="A74" s="3" t="s">
        <v>593</v>
      </c>
      <c r="B74" s="2" t="s">
        <v>143</v>
      </c>
      <c r="C74" s="3" t="s">
        <v>597</v>
      </c>
      <c r="D74" s="2" t="s">
        <v>147</v>
      </c>
    </row>
    <row r="75" spans="1:4" ht="13.8" x14ac:dyDescent="0.25">
      <c r="A75" s="3" t="s">
        <v>593</v>
      </c>
      <c r="B75" s="2" t="s">
        <v>143</v>
      </c>
      <c r="C75" s="3" t="s">
        <v>596</v>
      </c>
      <c r="D75" s="2" t="s">
        <v>148</v>
      </c>
    </row>
    <row r="76" spans="1:4" ht="13.8" x14ac:dyDescent="0.25">
      <c r="A76" s="3" t="s">
        <v>593</v>
      </c>
      <c r="B76" s="2" t="s">
        <v>143</v>
      </c>
      <c r="C76" s="3" t="s">
        <v>595</v>
      </c>
      <c r="D76" s="2" t="s">
        <v>149</v>
      </c>
    </row>
    <row r="77" spans="1:4" ht="13.8" x14ac:dyDescent="0.25">
      <c r="A77" s="3" t="s">
        <v>593</v>
      </c>
      <c r="B77" s="2" t="s">
        <v>143</v>
      </c>
      <c r="C77" s="3" t="s">
        <v>594</v>
      </c>
      <c r="D77" s="2" t="s">
        <v>151</v>
      </c>
    </row>
    <row r="78" spans="1:4" ht="13.8" x14ac:dyDescent="0.25">
      <c r="A78" s="3" t="s">
        <v>593</v>
      </c>
      <c r="B78" s="2" t="s">
        <v>143</v>
      </c>
      <c r="C78" s="3">
        <v>101</v>
      </c>
      <c r="D78" s="2" t="s">
        <v>153</v>
      </c>
    </row>
    <row r="79" spans="1:4" ht="13.8" x14ac:dyDescent="0.25">
      <c r="A79" s="3" t="s">
        <v>593</v>
      </c>
      <c r="B79" s="2" t="s">
        <v>143</v>
      </c>
      <c r="C79" s="3">
        <v>103</v>
      </c>
      <c r="D79" s="2" t="s">
        <v>154</v>
      </c>
    </row>
    <row r="80" spans="1:4" ht="13.8" x14ac:dyDescent="0.25">
      <c r="A80" s="3" t="s">
        <v>593</v>
      </c>
      <c r="B80" s="2" t="s">
        <v>143</v>
      </c>
      <c r="C80" s="3">
        <v>112</v>
      </c>
      <c r="D80" s="2" t="s">
        <v>156</v>
      </c>
    </row>
    <row r="81" spans="1:4" ht="13.8" x14ac:dyDescent="0.25">
      <c r="A81" s="3" t="s">
        <v>593</v>
      </c>
      <c r="B81" s="2" t="s">
        <v>143</v>
      </c>
      <c r="C81" s="3">
        <v>141</v>
      </c>
      <c r="D81" s="2" t="s">
        <v>161</v>
      </c>
    </row>
    <row r="82" spans="1:4" ht="13.8" x14ac:dyDescent="0.25">
      <c r="A82" s="3" t="s">
        <v>593</v>
      </c>
      <c r="B82" s="2" t="s">
        <v>143</v>
      </c>
      <c r="C82" s="3">
        <v>175</v>
      </c>
      <c r="D82" s="2" t="s">
        <v>152</v>
      </c>
    </row>
    <row r="83" spans="1:4" ht="13.8" x14ac:dyDescent="0.25">
      <c r="A83" s="3" t="s">
        <v>593</v>
      </c>
      <c r="B83" s="2" t="s">
        <v>143</v>
      </c>
      <c r="C83" s="3">
        <v>177</v>
      </c>
      <c r="D83" s="2" t="s">
        <v>155</v>
      </c>
    </row>
    <row r="84" spans="1:4" ht="13.8" x14ac:dyDescent="0.25">
      <c r="A84" s="3" t="s">
        <v>580</v>
      </c>
      <c r="B84" s="2" t="s">
        <v>420</v>
      </c>
      <c r="C84" s="3" t="s">
        <v>592</v>
      </c>
      <c r="D84" s="2" t="s">
        <v>423</v>
      </c>
    </row>
    <row r="85" spans="1:4" ht="13.8" x14ac:dyDescent="0.25">
      <c r="A85" s="3" t="s">
        <v>580</v>
      </c>
      <c r="B85" s="2" t="s">
        <v>420</v>
      </c>
      <c r="C85" s="3" t="s">
        <v>591</v>
      </c>
      <c r="D85" s="2" t="s">
        <v>431</v>
      </c>
    </row>
    <row r="86" spans="1:4" ht="13.8" x14ac:dyDescent="0.25">
      <c r="A86" s="3" t="s">
        <v>580</v>
      </c>
      <c r="B86" s="2" t="s">
        <v>420</v>
      </c>
      <c r="C86" s="3" t="s">
        <v>590</v>
      </c>
      <c r="D86" s="2" t="s">
        <v>436</v>
      </c>
    </row>
    <row r="87" spans="1:4" ht="13.8" x14ac:dyDescent="0.25">
      <c r="A87" s="3" t="s">
        <v>580</v>
      </c>
      <c r="B87" s="2" t="s">
        <v>420</v>
      </c>
      <c r="C87" s="3" t="s">
        <v>589</v>
      </c>
      <c r="D87" s="2" t="s">
        <v>437</v>
      </c>
    </row>
    <row r="88" spans="1:4" ht="13.8" x14ac:dyDescent="0.25">
      <c r="A88" s="3" t="s">
        <v>580</v>
      </c>
      <c r="B88" s="2" t="s">
        <v>420</v>
      </c>
      <c r="C88" s="3" t="s">
        <v>588</v>
      </c>
      <c r="D88" s="2" t="s">
        <v>587</v>
      </c>
    </row>
    <row r="89" spans="1:4" ht="13.8" x14ac:dyDescent="0.25">
      <c r="A89" s="3" t="s">
        <v>580</v>
      </c>
      <c r="B89" s="2" t="s">
        <v>420</v>
      </c>
      <c r="C89" s="3" t="s">
        <v>586</v>
      </c>
      <c r="D89" s="2" t="s">
        <v>443</v>
      </c>
    </row>
    <row r="90" spans="1:4" ht="13.8" x14ac:dyDescent="0.25">
      <c r="A90" s="3" t="s">
        <v>580</v>
      </c>
      <c r="B90" s="2" t="s">
        <v>420</v>
      </c>
      <c r="C90" s="3" t="s">
        <v>585</v>
      </c>
      <c r="D90" s="2" t="s">
        <v>444</v>
      </c>
    </row>
    <row r="91" spans="1:4" ht="13.8" x14ac:dyDescent="0.25">
      <c r="A91" s="3" t="s">
        <v>580</v>
      </c>
      <c r="B91" s="2" t="s">
        <v>420</v>
      </c>
      <c r="C91" s="3" t="s">
        <v>584</v>
      </c>
      <c r="D91" s="2" t="s">
        <v>445</v>
      </c>
    </row>
    <row r="92" spans="1:4" ht="13.8" x14ac:dyDescent="0.25">
      <c r="A92" s="3" t="s">
        <v>580</v>
      </c>
      <c r="B92" s="2" t="s">
        <v>420</v>
      </c>
      <c r="C92" s="3" t="s">
        <v>583</v>
      </c>
      <c r="D92" s="2" t="s">
        <v>449</v>
      </c>
    </row>
    <row r="93" spans="1:4" ht="13.8" x14ac:dyDescent="0.25">
      <c r="A93" s="3" t="s">
        <v>580</v>
      </c>
      <c r="B93" s="2" t="s">
        <v>420</v>
      </c>
      <c r="C93" s="3">
        <v>106</v>
      </c>
      <c r="D93" s="2" t="s">
        <v>459</v>
      </c>
    </row>
    <row r="94" spans="1:4" ht="13.8" x14ac:dyDescent="0.25">
      <c r="A94" s="3" t="s">
        <v>580</v>
      </c>
      <c r="B94" s="2" t="s">
        <v>420</v>
      </c>
      <c r="C94" s="3">
        <v>107</v>
      </c>
      <c r="D94" s="2" t="s">
        <v>460</v>
      </c>
    </row>
    <row r="95" spans="1:4" ht="13.8" x14ac:dyDescent="0.25">
      <c r="A95" s="3" t="s">
        <v>580</v>
      </c>
      <c r="B95" s="2" t="s">
        <v>420</v>
      </c>
      <c r="C95" s="3">
        <v>114</v>
      </c>
      <c r="D95" s="2" t="s">
        <v>461</v>
      </c>
    </row>
    <row r="96" spans="1:4" ht="13.8" x14ac:dyDescent="0.25">
      <c r="A96" s="3" t="s">
        <v>580</v>
      </c>
      <c r="B96" s="2" t="s">
        <v>420</v>
      </c>
      <c r="C96" s="3">
        <v>120</v>
      </c>
      <c r="D96" s="2" t="s">
        <v>582</v>
      </c>
    </row>
    <row r="97" spans="1:4" ht="13.8" x14ac:dyDescent="0.25">
      <c r="A97" s="3" t="s">
        <v>580</v>
      </c>
      <c r="B97" s="2" t="s">
        <v>420</v>
      </c>
      <c r="C97" s="3">
        <v>124</v>
      </c>
      <c r="D97" s="2" t="s">
        <v>468</v>
      </c>
    </row>
    <row r="98" spans="1:4" ht="13.8" x14ac:dyDescent="0.25">
      <c r="A98" s="3" t="s">
        <v>580</v>
      </c>
      <c r="B98" s="2" t="s">
        <v>420</v>
      </c>
      <c r="C98" s="3">
        <v>125</v>
      </c>
      <c r="D98" s="2" t="s">
        <v>470</v>
      </c>
    </row>
    <row r="99" spans="1:4" ht="13.8" x14ac:dyDescent="0.25">
      <c r="A99" s="3" t="s">
        <v>580</v>
      </c>
      <c r="B99" s="2" t="s">
        <v>420</v>
      </c>
      <c r="C99" s="3">
        <v>126</v>
      </c>
      <c r="D99" s="2" t="s">
        <v>472</v>
      </c>
    </row>
    <row r="100" spans="1:4" ht="13.8" x14ac:dyDescent="0.25">
      <c r="A100" s="3" t="s">
        <v>580</v>
      </c>
      <c r="B100" s="2" t="s">
        <v>420</v>
      </c>
      <c r="C100" s="3">
        <v>127</v>
      </c>
      <c r="D100" s="2" t="s">
        <v>473</v>
      </c>
    </row>
    <row r="101" spans="1:4" ht="13.8" x14ac:dyDescent="0.25">
      <c r="A101" s="3" t="s">
        <v>580</v>
      </c>
      <c r="B101" s="2" t="s">
        <v>420</v>
      </c>
      <c r="C101" s="3">
        <v>133</v>
      </c>
      <c r="D101" s="2" t="s">
        <v>477</v>
      </c>
    </row>
    <row r="102" spans="1:4" ht="13.8" x14ac:dyDescent="0.25">
      <c r="A102" s="3" t="s">
        <v>580</v>
      </c>
      <c r="B102" s="2" t="s">
        <v>420</v>
      </c>
      <c r="C102" s="3">
        <v>137</v>
      </c>
      <c r="D102" s="2" t="s">
        <v>478</v>
      </c>
    </row>
    <row r="103" spans="1:4" ht="13.8" x14ac:dyDescent="0.25">
      <c r="A103" s="3" t="s">
        <v>580</v>
      </c>
      <c r="B103" s="2" t="s">
        <v>420</v>
      </c>
      <c r="C103" s="3">
        <v>139</v>
      </c>
      <c r="D103" s="2" t="s">
        <v>479</v>
      </c>
    </row>
    <row r="104" spans="1:4" ht="13.8" x14ac:dyDescent="0.25">
      <c r="A104" s="3" t="s">
        <v>580</v>
      </c>
      <c r="B104" s="2" t="s">
        <v>420</v>
      </c>
      <c r="C104" s="3">
        <v>144</v>
      </c>
      <c r="D104" s="2" t="s">
        <v>481</v>
      </c>
    </row>
    <row r="105" spans="1:4" ht="13.8" x14ac:dyDescent="0.25">
      <c r="A105" s="3" t="s">
        <v>580</v>
      </c>
      <c r="B105" s="2" t="s">
        <v>420</v>
      </c>
      <c r="C105" s="3">
        <v>151</v>
      </c>
      <c r="D105" s="2" t="s">
        <v>421</v>
      </c>
    </row>
    <row r="106" spans="1:4" ht="13.8" x14ac:dyDescent="0.25">
      <c r="A106" s="3" t="s">
        <v>580</v>
      </c>
      <c r="B106" s="2" t="s">
        <v>420</v>
      </c>
      <c r="C106" s="3">
        <v>154</v>
      </c>
      <c r="D106" s="2" t="s">
        <v>581</v>
      </c>
    </row>
    <row r="107" spans="1:4" ht="13.8" x14ac:dyDescent="0.25">
      <c r="A107" s="3" t="s">
        <v>580</v>
      </c>
      <c r="B107" s="2" t="s">
        <v>420</v>
      </c>
      <c r="C107" s="3">
        <v>155</v>
      </c>
      <c r="D107" s="2" t="s">
        <v>426</v>
      </c>
    </row>
    <row r="108" spans="1:4" ht="13.8" x14ac:dyDescent="0.25">
      <c r="A108" s="3" t="s">
        <v>580</v>
      </c>
      <c r="B108" s="2" t="s">
        <v>420</v>
      </c>
      <c r="C108" s="3">
        <v>173</v>
      </c>
      <c r="D108" s="2" t="s">
        <v>452</v>
      </c>
    </row>
    <row r="109" spans="1:4" ht="13.8" x14ac:dyDescent="0.25">
      <c r="A109" s="3" t="s">
        <v>580</v>
      </c>
      <c r="B109" s="2" t="s">
        <v>420</v>
      </c>
      <c r="C109" s="3">
        <v>174</v>
      </c>
      <c r="D109" s="2" t="s">
        <v>454</v>
      </c>
    </row>
    <row r="110" spans="1:4" ht="13.8" x14ac:dyDescent="0.25">
      <c r="A110" s="3" t="s">
        <v>580</v>
      </c>
      <c r="B110" s="2" t="s">
        <v>420</v>
      </c>
      <c r="C110" s="3">
        <v>180</v>
      </c>
      <c r="D110" s="2" t="s">
        <v>462</v>
      </c>
    </row>
    <row r="111" spans="1:4" ht="13.8" x14ac:dyDescent="0.25">
      <c r="A111" s="3" t="s">
        <v>580</v>
      </c>
      <c r="B111" s="2" t="s">
        <v>420</v>
      </c>
      <c r="C111" s="3">
        <v>184</v>
      </c>
      <c r="D111" s="2" t="s">
        <v>474</v>
      </c>
    </row>
    <row r="112" spans="1:4" ht="13.8" x14ac:dyDescent="0.25">
      <c r="A112" s="3" t="s">
        <v>580</v>
      </c>
      <c r="B112" s="2" t="s">
        <v>420</v>
      </c>
      <c r="C112" s="3">
        <v>189</v>
      </c>
      <c r="D112" s="2" t="s">
        <v>480</v>
      </c>
    </row>
    <row r="113" spans="1:4" ht="13.8" x14ac:dyDescent="0.25">
      <c r="A113" s="3" t="s">
        <v>580</v>
      </c>
      <c r="B113" s="2" t="s">
        <v>420</v>
      </c>
      <c r="C113" s="3">
        <v>190</v>
      </c>
      <c r="D113" s="2" t="s">
        <v>482</v>
      </c>
    </row>
    <row r="114" spans="1:4" ht="13.8" x14ac:dyDescent="0.25">
      <c r="A114" s="3" t="s">
        <v>580</v>
      </c>
      <c r="B114" s="2" t="s">
        <v>420</v>
      </c>
      <c r="C114" s="3">
        <v>209</v>
      </c>
      <c r="D114" s="2" t="s">
        <v>457</v>
      </c>
    </row>
    <row r="115" spans="1:4" ht="13.8" x14ac:dyDescent="0.25">
      <c r="A115" s="3" t="s">
        <v>577</v>
      </c>
      <c r="B115" s="2" t="s">
        <v>491</v>
      </c>
      <c r="C115" s="3" t="s">
        <v>579</v>
      </c>
      <c r="D115" s="2" t="s">
        <v>494</v>
      </c>
    </row>
    <row r="116" spans="1:4" ht="13.8" x14ac:dyDescent="0.25">
      <c r="A116" s="3" t="s">
        <v>577</v>
      </c>
      <c r="B116" s="2" t="s">
        <v>491</v>
      </c>
      <c r="C116" s="3" t="s">
        <v>578</v>
      </c>
      <c r="D116" s="2" t="s">
        <v>210</v>
      </c>
    </row>
    <row r="117" spans="1:4" ht="13.8" x14ac:dyDescent="0.25">
      <c r="A117" s="3" t="s">
        <v>577</v>
      </c>
      <c r="B117" s="2" t="s">
        <v>491</v>
      </c>
      <c r="C117" s="3">
        <v>129</v>
      </c>
      <c r="D117" s="2" t="s">
        <v>498</v>
      </c>
    </row>
    <row r="118" spans="1:4" ht="13.8" x14ac:dyDescent="0.25">
      <c r="A118" s="3" t="s">
        <v>577</v>
      </c>
      <c r="B118" s="2" t="s">
        <v>491</v>
      </c>
      <c r="C118" s="3">
        <v>142</v>
      </c>
      <c r="D118" s="2" t="s">
        <v>499</v>
      </c>
    </row>
    <row r="119" spans="1:4" ht="13.8" x14ac:dyDescent="0.25">
      <c r="A119" s="3" t="s">
        <v>573</v>
      </c>
      <c r="B119" s="2" t="s">
        <v>371</v>
      </c>
      <c r="C119" s="3" t="s">
        <v>576</v>
      </c>
      <c r="D119" s="2" t="s">
        <v>376</v>
      </c>
    </row>
    <row r="120" spans="1:4" ht="13.8" x14ac:dyDescent="0.25">
      <c r="A120" s="3" t="s">
        <v>573</v>
      </c>
      <c r="B120" s="2" t="s">
        <v>371</v>
      </c>
      <c r="C120" s="3" t="s">
        <v>575</v>
      </c>
      <c r="D120" s="2" t="s">
        <v>386</v>
      </c>
    </row>
    <row r="121" spans="1:4" ht="13.8" x14ac:dyDescent="0.25">
      <c r="A121" s="3" t="s">
        <v>573</v>
      </c>
      <c r="B121" s="2" t="s">
        <v>371</v>
      </c>
      <c r="C121" s="3" t="s">
        <v>574</v>
      </c>
      <c r="D121" s="2" t="s">
        <v>390</v>
      </c>
    </row>
    <row r="122" spans="1:4" ht="13.8" x14ac:dyDescent="0.25">
      <c r="A122" s="3" t="s">
        <v>573</v>
      </c>
      <c r="B122" s="2" t="s">
        <v>371</v>
      </c>
      <c r="C122" s="3">
        <v>110</v>
      </c>
      <c r="D122" s="2" t="s">
        <v>393</v>
      </c>
    </row>
    <row r="123" spans="1:4" ht="13.8" x14ac:dyDescent="0.25">
      <c r="A123" s="3" t="s">
        <v>573</v>
      </c>
      <c r="B123" s="2" t="s">
        <v>371</v>
      </c>
      <c r="C123" s="3">
        <v>149</v>
      </c>
      <c r="D123" s="2" t="s">
        <v>419</v>
      </c>
    </row>
    <row r="124" spans="1:4" ht="13.8" x14ac:dyDescent="0.25">
      <c r="A124" s="3" t="s">
        <v>573</v>
      </c>
      <c r="B124" s="2" t="s">
        <v>371</v>
      </c>
      <c r="C124" s="3">
        <v>197</v>
      </c>
      <c r="D124" s="2" t="s">
        <v>110</v>
      </c>
    </row>
    <row r="125" spans="1:4" ht="13.8" x14ac:dyDescent="0.25">
      <c r="A125" s="3" t="s">
        <v>565</v>
      </c>
      <c r="B125" s="2" t="s">
        <v>96</v>
      </c>
      <c r="C125" s="3" t="s">
        <v>572</v>
      </c>
      <c r="D125" s="2" t="s">
        <v>99</v>
      </c>
    </row>
    <row r="126" spans="1:4" ht="13.8" x14ac:dyDescent="0.25">
      <c r="A126" s="3" t="s">
        <v>565</v>
      </c>
      <c r="B126" s="2" t="s">
        <v>96</v>
      </c>
      <c r="C126" s="3" t="s">
        <v>571</v>
      </c>
      <c r="D126" s="2" t="s">
        <v>108</v>
      </c>
    </row>
    <row r="127" spans="1:4" ht="13.8" x14ac:dyDescent="0.25">
      <c r="A127" s="3" t="s">
        <v>565</v>
      </c>
      <c r="B127" s="2" t="s">
        <v>96</v>
      </c>
      <c r="C127" s="3" t="s">
        <v>570</v>
      </c>
      <c r="D127" s="2" t="s">
        <v>112</v>
      </c>
    </row>
    <row r="128" spans="1:4" ht="13.8" x14ac:dyDescent="0.25">
      <c r="A128" s="3" t="s">
        <v>565</v>
      </c>
      <c r="B128" s="2" t="s">
        <v>96</v>
      </c>
      <c r="C128" s="3" t="s">
        <v>569</v>
      </c>
      <c r="D128" s="2" t="s">
        <v>113</v>
      </c>
    </row>
    <row r="129" spans="1:4" ht="13.8" x14ac:dyDescent="0.25">
      <c r="A129" s="3" t="s">
        <v>565</v>
      </c>
      <c r="B129" s="2" t="s">
        <v>96</v>
      </c>
      <c r="C129" s="3" t="s">
        <v>568</v>
      </c>
      <c r="D129" s="2" t="s">
        <v>117</v>
      </c>
    </row>
    <row r="130" spans="1:4" ht="13.8" x14ac:dyDescent="0.25">
      <c r="A130" s="3" t="s">
        <v>565</v>
      </c>
      <c r="B130" s="2" t="s">
        <v>96</v>
      </c>
      <c r="C130" s="3" t="s">
        <v>567</v>
      </c>
      <c r="D130" s="2" t="s">
        <v>120</v>
      </c>
    </row>
    <row r="131" spans="1:4" ht="13.8" x14ac:dyDescent="0.25">
      <c r="A131" s="3" t="s">
        <v>565</v>
      </c>
      <c r="B131" s="2" t="s">
        <v>96</v>
      </c>
      <c r="C131" s="3">
        <v>104</v>
      </c>
      <c r="D131" s="2" t="s">
        <v>123</v>
      </c>
    </row>
    <row r="132" spans="1:4" ht="13.8" x14ac:dyDescent="0.25">
      <c r="A132" s="3" t="s">
        <v>565</v>
      </c>
      <c r="B132" s="2" t="s">
        <v>96</v>
      </c>
      <c r="C132" s="3">
        <v>109</v>
      </c>
      <c r="D132" s="2" t="s">
        <v>124</v>
      </c>
    </row>
    <row r="133" spans="1:4" ht="13.8" x14ac:dyDescent="0.25">
      <c r="A133" s="3" t="s">
        <v>565</v>
      </c>
      <c r="B133" s="2" t="s">
        <v>96</v>
      </c>
      <c r="C133" s="3">
        <v>119</v>
      </c>
      <c r="D133" s="2" t="s">
        <v>131</v>
      </c>
    </row>
    <row r="134" spans="1:4" ht="13.8" x14ac:dyDescent="0.25">
      <c r="A134" s="3" t="s">
        <v>565</v>
      </c>
      <c r="B134" s="2" t="s">
        <v>96</v>
      </c>
      <c r="C134" s="3">
        <v>121</v>
      </c>
      <c r="D134" s="2" t="s">
        <v>133</v>
      </c>
    </row>
    <row r="135" spans="1:4" ht="13.8" x14ac:dyDescent="0.25">
      <c r="A135" s="3" t="s">
        <v>565</v>
      </c>
      <c r="B135" s="2" t="s">
        <v>96</v>
      </c>
      <c r="C135" s="3">
        <v>130</v>
      </c>
      <c r="D135" s="2" t="s">
        <v>136</v>
      </c>
    </row>
    <row r="136" spans="1:4" ht="13.8" x14ac:dyDescent="0.25">
      <c r="A136" s="3" t="s">
        <v>565</v>
      </c>
      <c r="B136" s="2" t="s">
        <v>96</v>
      </c>
      <c r="C136" s="3">
        <v>157</v>
      </c>
      <c r="D136" s="2" t="s">
        <v>102</v>
      </c>
    </row>
    <row r="137" spans="1:4" ht="13.8" x14ac:dyDescent="0.25">
      <c r="A137" s="3" t="s">
        <v>565</v>
      </c>
      <c r="B137" s="2" t="s">
        <v>96</v>
      </c>
      <c r="C137" s="3">
        <v>165</v>
      </c>
      <c r="D137" s="2" t="s">
        <v>111</v>
      </c>
    </row>
    <row r="138" spans="1:4" ht="13.8" x14ac:dyDescent="0.25">
      <c r="A138" s="3" t="s">
        <v>565</v>
      </c>
      <c r="B138" s="2" t="s">
        <v>96</v>
      </c>
      <c r="C138" s="3">
        <v>170</v>
      </c>
      <c r="D138" s="2" t="s">
        <v>115</v>
      </c>
    </row>
    <row r="139" spans="1:4" ht="13.8" x14ac:dyDescent="0.25">
      <c r="A139" s="3" t="s">
        <v>565</v>
      </c>
      <c r="B139" s="2" t="s">
        <v>96</v>
      </c>
      <c r="C139" s="3">
        <v>179</v>
      </c>
      <c r="D139" s="2" t="s">
        <v>125</v>
      </c>
    </row>
    <row r="140" spans="1:4" ht="13.8" x14ac:dyDescent="0.25">
      <c r="A140" s="3" t="s">
        <v>565</v>
      </c>
      <c r="B140" s="2" t="s">
        <v>96</v>
      </c>
      <c r="C140" s="3">
        <v>193</v>
      </c>
      <c r="D140" s="2" t="s">
        <v>141</v>
      </c>
    </row>
    <row r="141" spans="1:4" ht="13.8" x14ac:dyDescent="0.25">
      <c r="A141" s="3" t="s">
        <v>565</v>
      </c>
      <c r="B141" s="2" t="s">
        <v>96</v>
      </c>
      <c r="C141" s="3">
        <v>199</v>
      </c>
      <c r="D141" s="2" t="s">
        <v>566</v>
      </c>
    </row>
    <row r="142" spans="1:4" ht="13.8" x14ac:dyDescent="0.25">
      <c r="A142" s="3" t="s">
        <v>565</v>
      </c>
      <c r="B142" s="2" t="s">
        <v>96</v>
      </c>
      <c r="C142" s="3">
        <v>203</v>
      </c>
      <c r="D142" s="2" t="s">
        <v>129</v>
      </c>
    </row>
    <row r="143" spans="1:4" ht="13.8" x14ac:dyDescent="0.25">
      <c r="A143" s="3" t="s">
        <v>565</v>
      </c>
      <c r="B143" s="2" t="s">
        <v>96</v>
      </c>
      <c r="C143" s="3">
        <v>206</v>
      </c>
      <c r="D143" s="2" t="s">
        <v>134</v>
      </c>
    </row>
    <row r="144" spans="1:4" ht="13.8" x14ac:dyDescent="0.25">
      <c r="A144" s="3" t="s">
        <v>565</v>
      </c>
      <c r="B144" s="2" t="s">
        <v>96</v>
      </c>
      <c r="C144" s="3">
        <v>211</v>
      </c>
      <c r="D144" s="2" t="s">
        <v>132</v>
      </c>
    </row>
    <row r="145" spans="1:4" ht="13.8" x14ac:dyDescent="0.25">
      <c r="A145" s="3" t="s">
        <v>565</v>
      </c>
      <c r="B145" s="2" t="s">
        <v>96</v>
      </c>
      <c r="C145" s="3">
        <v>212</v>
      </c>
      <c r="D145" s="2" t="s">
        <v>114</v>
      </c>
    </row>
    <row r="146" spans="1:4" ht="13.8" x14ac:dyDescent="0.25">
      <c r="A146" s="3" t="s">
        <v>545</v>
      </c>
      <c r="B146" s="2" t="s">
        <v>191</v>
      </c>
      <c r="C146" s="3" t="s">
        <v>564</v>
      </c>
      <c r="D146" s="2" t="s">
        <v>192</v>
      </c>
    </row>
    <row r="147" spans="1:4" ht="13.8" x14ac:dyDescent="0.25">
      <c r="A147" s="3" t="s">
        <v>545</v>
      </c>
      <c r="B147" s="2" t="s">
        <v>191</v>
      </c>
      <c r="C147" s="3" t="s">
        <v>563</v>
      </c>
      <c r="D147" s="2" t="s">
        <v>562</v>
      </c>
    </row>
    <row r="148" spans="1:4" ht="13.8" x14ac:dyDescent="0.25">
      <c r="A148" s="3" t="s">
        <v>545</v>
      </c>
      <c r="B148" s="2" t="s">
        <v>191</v>
      </c>
      <c r="C148" s="3" t="s">
        <v>561</v>
      </c>
      <c r="D148" s="2" t="s">
        <v>560</v>
      </c>
    </row>
    <row r="149" spans="1:4" ht="13.8" x14ac:dyDescent="0.25">
      <c r="A149" s="3" t="s">
        <v>545</v>
      </c>
      <c r="B149" s="2" t="s">
        <v>191</v>
      </c>
      <c r="C149" s="3" t="s">
        <v>559</v>
      </c>
      <c r="D149" s="2" t="s">
        <v>558</v>
      </c>
    </row>
    <row r="150" spans="1:4" ht="13.8" x14ac:dyDescent="0.25">
      <c r="A150" s="3" t="s">
        <v>545</v>
      </c>
      <c r="B150" s="2" t="s">
        <v>191</v>
      </c>
      <c r="C150" s="3" t="s">
        <v>557</v>
      </c>
      <c r="D150" s="2" t="s">
        <v>196</v>
      </c>
    </row>
    <row r="151" spans="1:4" ht="13.8" x14ac:dyDescent="0.25">
      <c r="A151" s="3" t="s">
        <v>545</v>
      </c>
      <c r="B151" s="2" t="s">
        <v>191</v>
      </c>
      <c r="C151" s="3" t="s">
        <v>556</v>
      </c>
      <c r="D151" s="2" t="s">
        <v>198</v>
      </c>
    </row>
    <row r="152" spans="1:4" ht="13.8" x14ac:dyDescent="0.25">
      <c r="A152" s="3" t="s">
        <v>545</v>
      </c>
      <c r="B152" s="2" t="s">
        <v>191</v>
      </c>
      <c r="C152" s="3" t="s">
        <v>555</v>
      </c>
      <c r="D152" s="2" t="s">
        <v>200</v>
      </c>
    </row>
    <row r="153" spans="1:4" ht="13.8" x14ac:dyDescent="0.25">
      <c r="A153" s="3" t="s">
        <v>545</v>
      </c>
      <c r="B153" s="2" t="s">
        <v>191</v>
      </c>
      <c r="C153" s="3" t="s">
        <v>554</v>
      </c>
      <c r="D153" s="2" t="s">
        <v>203</v>
      </c>
    </row>
    <row r="154" spans="1:4" ht="13.8" x14ac:dyDescent="0.25">
      <c r="A154" s="3" t="s">
        <v>545</v>
      </c>
      <c r="B154" s="2" t="s">
        <v>191</v>
      </c>
      <c r="C154" s="3" t="s">
        <v>553</v>
      </c>
      <c r="D154" s="2" t="s">
        <v>204</v>
      </c>
    </row>
    <row r="155" spans="1:4" ht="13.8" x14ac:dyDescent="0.25">
      <c r="A155" s="3" t="s">
        <v>545</v>
      </c>
      <c r="B155" s="2" t="s">
        <v>191</v>
      </c>
      <c r="C155" s="3" t="s">
        <v>552</v>
      </c>
      <c r="D155" s="2" t="s">
        <v>205</v>
      </c>
    </row>
    <row r="156" spans="1:4" ht="13.8" x14ac:dyDescent="0.25">
      <c r="A156" s="3" t="s">
        <v>545</v>
      </c>
      <c r="B156" s="2" t="s">
        <v>191</v>
      </c>
      <c r="C156" s="3" t="s">
        <v>551</v>
      </c>
      <c r="D156" s="2" t="s">
        <v>211</v>
      </c>
    </row>
    <row r="157" spans="1:4" ht="13.8" x14ac:dyDescent="0.25">
      <c r="A157" s="3" t="s">
        <v>545</v>
      </c>
      <c r="B157" s="2" t="s">
        <v>191</v>
      </c>
      <c r="C157" s="3" t="s">
        <v>550</v>
      </c>
      <c r="D157" s="2" t="s">
        <v>220</v>
      </c>
    </row>
    <row r="158" spans="1:4" ht="13.8" x14ac:dyDescent="0.25">
      <c r="A158" s="3" t="s">
        <v>545</v>
      </c>
      <c r="B158" s="2" t="s">
        <v>191</v>
      </c>
      <c r="C158" s="3" t="s">
        <v>549</v>
      </c>
      <c r="D158" s="2" t="s">
        <v>221</v>
      </c>
    </row>
    <row r="159" spans="1:4" ht="13.8" x14ac:dyDescent="0.25">
      <c r="A159" s="3" t="s">
        <v>545</v>
      </c>
      <c r="B159" s="2" t="s">
        <v>191</v>
      </c>
      <c r="C159" s="3" t="s">
        <v>548</v>
      </c>
      <c r="D159" s="2" t="s">
        <v>222</v>
      </c>
    </row>
    <row r="160" spans="1:4" ht="13.8" x14ac:dyDescent="0.25">
      <c r="A160" s="3" t="s">
        <v>545</v>
      </c>
      <c r="B160" s="2" t="s">
        <v>191</v>
      </c>
      <c r="C160" s="3" t="s">
        <v>547</v>
      </c>
      <c r="D160" s="2" t="s">
        <v>223</v>
      </c>
    </row>
    <row r="161" spans="1:4" ht="13.8" x14ac:dyDescent="0.25">
      <c r="A161" s="3" t="s">
        <v>545</v>
      </c>
      <c r="B161" s="2" t="s">
        <v>191</v>
      </c>
      <c r="C161" s="3" t="s">
        <v>546</v>
      </c>
      <c r="D161" s="2" t="s">
        <v>224</v>
      </c>
    </row>
    <row r="162" spans="1:4" ht="13.8" x14ac:dyDescent="0.25">
      <c r="A162" s="3" t="s">
        <v>545</v>
      </c>
      <c r="B162" s="2" t="s">
        <v>191</v>
      </c>
      <c r="C162" s="3">
        <v>123</v>
      </c>
      <c r="D162" s="2" t="s">
        <v>239</v>
      </c>
    </row>
    <row r="163" spans="1:4" ht="13.8" x14ac:dyDescent="0.25">
      <c r="A163" s="3" t="s">
        <v>545</v>
      </c>
      <c r="B163" s="2" t="s">
        <v>191</v>
      </c>
      <c r="C163" s="3">
        <v>134</v>
      </c>
      <c r="D163" s="2" t="s">
        <v>246</v>
      </c>
    </row>
    <row r="164" spans="1:4" ht="13.8" x14ac:dyDescent="0.25">
      <c r="A164" s="3" t="s">
        <v>545</v>
      </c>
      <c r="B164" s="2" t="s">
        <v>191</v>
      </c>
      <c r="C164" s="3">
        <v>138</v>
      </c>
      <c r="D164" s="2" t="s">
        <v>249</v>
      </c>
    </row>
    <row r="165" spans="1:4" ht="13.8" x14ac:dyDescent="0.25">
      <c r="A165" s="3" t="s">
        <v>545</v>
      </c>
      <c r="B165" s="2" t="s">
        <v>191</v>
      </c>
      <c r="C165" s="3">
        <v>140</v>
      </c>
      <c r="D165" s="2" t="s">
        <v>250</v>
      </c>
    </row>
    <row r="166" spans="1:4" ht="13.8" x14ac:dyDescent="0.25">
      <c r="A166" s="3" t="s">
        <v>545</v>
      </c>
      <c r="B166" s="2" t="s">
        <v>191</v>
      </c>
      <c r="C166" s="3">
        <v>162</v>
      </c>
      <c r="D166" s="2" t="s">
        <v>201</v>
      </c>
    </row>
    <row r="167" spans="1:4" ht="13.8" x14ac:dyDescent="0.25">
      <c r="A167" s="3" t="s">
        <v>545</v>
      </c>
      <c r="B167" s="2" t="s">
        <v>191</v>
      </c>
      <c r="C167" s="3">
        <v>164</v>
      </c>
      <c r="D167" s="2" t="s">
        <v>206</v>
      </c>
    </row>
    <row r="168" spans="1:4" ht="13.8" x14ac:dyDescent="0.25">
      <c r="A168" s="3" t="s">
        <v>545</v>
      </c>
      <c r="B168" s="2" t="s">
        <v>191</v>
      </c>
      <c r="C168" s="3">
        <v>186</v>
      </c>
      <c r="D168" s="2" t="s">
        <v>243</v>
      </c>
    </row>
    <row r="169" spans="1:4" ht="13.8" x14ac:dyDescent="0.25">
      <c r="A169" s="3" t="s">
        <v>545</v>
      </c>
      <c r="B169" s="2" t="s">
        <v>191</v>
      </c>
      <c r="C169" s="3">
        <v>194</v>
      </c>
      <c r="D169" s="2" t="s">
        <v>241</v>
      </c>
    </row>
    <row r="170" spans="1:4" ht="13.8" x14ac:dyDescent="0.25">
      <c r="A170" s="3" t="s">
        <v>545</v>
      </c>
      <c r="B170" s="2" t="s">
        <v>191</v>
      </c>
      <c r="C170" s="3">
        <v>208</v>
      </c>
      <c r="D170" s="2" t="s">
        <v>544</v>
      </c>
    </row>
    <row r="171" spans="1:4" ht="13.8" x14ac:dyDescent="0.25">
      <c r="A171" s="3" t="s">
        <v>531</v>
      </c>
      <c r="B171" s="2" t="s">
        <v>6</v>
      </c>
      <c r="C171" s="3" t="s">
        <v>543</v>
      </c>
      <c r="D171" s="2" t="s">
        <v>7</v>
      </c>
    </row>
    <row r="172" spans="1:4" ht="13.8" x14ac:dyDescent="0.25">
      <c r="A172" s="3" t="s">
        <v>531</v>
      </c>
      <c r="B172" s="2" t="s">
        <v>6</v>
      </c>
      <c r="C172" s="3" t="s">
        <v>542</v>
      </c>
      <c r="D172" s="2" t="s">
        <v>541</v>
      </c>
    </row>
    <row r="173" spans="1:4" ht="13.8" x14ac:dyDescent="0.25">
      <c r="A173" s="3" t="s">
        <v>531</v>
      </c>
      <c r="B173" s="2" t="s">
        <v>6</v>
      </c>
      <c r="C173" s="3" t="s">
        <v>540</v>
      </c>
      <c r="D173" s="2" t="s">
        <v>14</v>
      </c>
    </row>
    <row r="174" spans="1:4" ht="13.8" x14ac:dyDescent="0.25">
      <c r="A174" s="3" t="s">
        <v>531</v>
      </c>
      <c r="B174" s="2" t="s">
        <v>6</v>
      </c>
      <c r="C174" s="3" t="s">
        <v>539</v>
      </c>
      <c r="D174" s="2" t="s">
        <v>538</v>
      </c>
    </row>
    <row r="175" spans="1:4" ht="13.8" x14ac:dyDescent="0.25">
      <c r="A175" s="3" t="s">
        <v>531</v>
      </c>
      <c r="B175" s="2" t="s">
        <v>6</v>
      </c>
      <c r="C175" s="3" t="s">
        <v>537</v>
      </c>
      <c r="D175" s="2" t="s">
        <v>20</v>
      </c>
    </row>
    <row r="176" spans="1:4" ht="13.8" x14ac:dyDescent="0.25">
      <c r="A176" s="3" t="s">
        <v>531</v>
      </c>
      <c r="B176" s="2" t="s">
        <v>6</v>
      </c>
      <c r="C176" s="3" t="s">
        <v>536</v>
      </c>
      <c r="D176" s="2" t="s">
        <v>22</v>
      </c>
    </row>
    <row r="177" spans="1:4" ht="13.8" x14ac:dyDescent="0.25">
      <c r="A177" s="3" t="s">
        <v>531</v>
      </c>
      <c r="B177" s="2" t="s">
        <v>6</v>
      </c>
      <c r="C177" s="3" t="s">
        <v>535</v>
      </c>
      <c r="D177" s="2" t="s">
        <v>24</v>
      </c>
    </row>
    <row r="178" spans="1:4" ht="13.8" x14ac:dyDescent="0.25">
      <c r="A178" s="3" t="s">
        <v>531</v>
      </c>
      <c r="B178" s="2" t="s">
        <v>6</v>
      </c>
      <c r="C178" s="3" t="s">
        <v>534</v>
      </c>
      <c r="D178" s="2" t="s">
        <v>30</v>
      </c>
    </row>
    <row r="179" spans="1:4" ht="13.8" x14ac:dyDescent="0.25">
      <c r="A179" s="3" t="s">
        <v>531</v>
      </c>
      <c r="B179" s="2" t="s">
        <v>6</v>
      </c>
      <c r="C179" s="3" t="s">
        <v>533</v>
      </c>
      <c r="D179" s="2" t="s">
        <v>33</v>
      </c>
    </row>
    <row r="180" spans="1:4" ht="13.8" x14ac:dyDescent="0.25">
      <c r="A180" s="3" t="s">
        <v>531</v>
      </c>
      <c r="B180" s="2" t="s">
        <v>6</v>
      </c>
      <c r="C180" s="3">
        <v>102</v>
      </c>
      <c r="D180" s="2" t="s">
        <v>34</v>
      </c>
    </row>
    <row r="181" spans="1:4" ht="13.8" x14ac:dyDescent="0.25">
      <c r="A181" s="3" t="s">
        <v>531</v>
      </c>
      <c r="B181" s="2" t="s">
        <v>6</v>
      </c>
      <c r="C181" s="3">
        <v>117</v>
      </c>
      <c r="D181" s="2" t="s">
        <v>40</v>
      </c>
    </row>
    <row r="182" spans="1:4" ht="13.8" x14ac:dyDescent="0.25">
      <c r="A182" s="3" t="s">
        <v>531</v>
      </c>
      <c r="B182" s="2" t="s">
        <v>6</v>
      </c>
      <c r="C182" s="3">
        <v>122</v>
      </c>
      <c r="D182" s="2" t="s">
        <v>41</v>
      </c>
    </row>
    <row r="183" spans="1:4" ht="13.8" x14ac:dyDescent="0.25">
      <c r="A183" s="3" t="s">
        <v>531</v>
      </c>
      <c r="B183" s="2" t="s">
        <v>6</v>
      </c>
      <c r="C183" s="3">
        <v>131</v>
      </c>
      <c r="D183" s="2" t="s">
        <v>42</v>
      </c>
    </row>
    <row r="184" spans="1:4" ht="13.8" x14ac:dyDescent="0.25">
      <c r="A184" s="3" t="s">
        <v>531</v>
      </c>
      <c r="B184" s="2" t="s">
        <v>6</v>
      </c>
      <c r="C184" s="3">
        <v>146</v>
      </c>
      <c r="D184" s="2" t="s">
        <v>48</v>
      </c>
    </row>
    <row r="185" spans="1:4" ht="13.8" x14ac:dyDescent="0.25">
      <c r="A185" s="3" t="s">
        <v>531</v>
      </c>
      <c r="B185" s="2" t="s">
        <v>6</v>
      </c>
      <c r="C185" s="3">
        <v>147</v>
      </c>
      <c r="D185" s="2" t="s">
        <v>49</v>
      </c>
    </row>
    <row r="186" spans="1:4" ht="13.8" x14ac:dyDescent="0.25">
      <c r="A186" s="3" t="s">
        <v>531</v>
      </c>
      <c r="B186" s="2" t="s">
        <v>6</v>
      </c>
      <c r="C186" s="3">
        <v>163</v>
      </c>
      <c r="D186" s="2" t="s">
        <v>532</v>
      </c>
    </row>
    <row r="187" spans="1:4" ht="13.8" x14ac:dyDescent="0.25">
      <c r="A187" s="3" t="s">
        <v>531</v>
      </c>
      <c r="B187" s="2" t="s">
        <v>6</v>
      </c>
      <c r="C187" s="3">
        <v>192</v>
      </c>
      <c r="D187" s="2" t="s">
        <v>50</v>
      </c>
    </row>
    <row r="188" spans="1:4" ht="13.8" x14ac:dyDescent="0.25">
      <c r="A188" s="3" t="s">
        <v>531</v>
      </c>
      <c r="B188" s="2" t="s">
        <v>6</v>
      </c>
      <c r="C188" s="3">
        <v>207</v>
      </c>
      <c r="D188" s="2" t="s">
        <v>530</v>
      </c>
    </row>
    <row r="189" spans="1:4" ht="13.8" x14ac:dyDescent="0.25">
      <c r="A189" s="3">
        <v>10</v>
      </c>
      <c r="B189" s="2" t="s">
        <v>402</v>
      </c>
      <c r="C189" s="3" t="s">
        <v>529</v>
      </c>
      <c r="D189" s="2" t="s">
        <v>403</v>
      </c>
    </row>
    <row r="190" spans="1:4" ht="13.8" x14ac:dyDescent="0.25">
      <c r="A190" s="3">
        <v>10</v>
      </c>
      <c r="B190" s="2" t="s">
        <v>402</v>
      </c>
      <c r="C190" s="3" t="s">
        <v>528</v>
      </c>
      <c r="D190" s="2" t="s">
        <v>406</v>
      </c>
    </row>
    <row r="191" spans="1:4" ht="13.8" x14ac:dyDescent="0.25">
      <c r="A191" s="3">
        <v>10</v>
      </c>
      <c r="B191" s="2" t="s">
        <v>402</v>
      </c>
      <c r="C191" s="3" t="s">
        <v>527</v>
      </c>
      <c r="D191" s="2" t="s">
        <v>526</v>
      </c>
    </row>
    <row r="192" spans="1:4" ht="13.8" x14ac:dyDescent="0.25">
      <c r="A192" s="3">
        <v>10</v>
      </c>
      <c r="B192" s="2" t="s">
        <v>402</v>
      </c>
      <c r="C192" s="3" t="s">
        <v>525</v>
      </c>
      <c r="D192" s="2" t="s">
        <v>412</v>
      </c>
    </row>
    <row r="193" spans="1:4" ht="13.8" x14ac:dyDescent="0.25">
      <c r="A193" s="3">
        <v>10</v>
      </c>
      <c r="B193" s="2" t="s">
        <v>402</v>
      </c>
      <c r="C193" s="3" t="s">
        <v>524</v>
      </c>
      <c r="D193" s="2" t="s">
        <v>414</v>
      </c>
    </row>
    <row r="194" spans="1:4" ht="13.8" x14ac:dyDescent="0.25">
      <c r="A194" s="3">
        <v>10</v>
      </c>
      <c r="B194" s="2" t="s">
        <v>402</v>
      </c>
      <c r="C194" s="3">
        <v>150</v>
      </c>
      <c r="D194" s="2" t="s">
        <v>523</v>
      </c>
    </row>
    <row r="195" spans="1:4" ht="13.8" x14ac:dyDescent="0.25">
      <c r="A195" s="3">
        <v>11</v>
      </c>
      <c r="B195" s="2" t="s">
        <v>52</v>
      </c>
      <c r="C195" s="3" t="s">
        <v>522</v>
      </c>
      <c r="D195" s="2" t="s">
        <v>51</v>
      </c>
    </row>
    <row r="196" spans="1:4" ht="13.8" x14ac:dyDescent="0.25">
      <c r="A196" s="3">
        <v>11</v>
      </c>
      <c r="B196" s="2" t="s">
        <v>52</v>
      </c>
      <c r="C196" s="3" t="s">
        <v>521</v>
      </c>
      <c r="D196" s="2" t="s">
        <v>53</v>
      </c>
    </row>
    <row r="197" spans="1:4" ht="13.8" x14ac:dyDescent="0.25">
      <c r="A197" s="3">
        <v>11</v>
      </c>
      <c r="B197" s="2" t="s">
        <v>52</v>
      </c>
      <c r="C197" s="3" t="s">
        <v>520</v>
      </c>
      <c r="D197" s="2" t="s">
        <v>519</v>
      </c>
    </row>
    <row r="198" spans="1:4" ht="13.8" x14ac:dyDescent="0.25">
      <c r="A198" s="3">
        <v>11</v>
      </c>
      <c r="B198" s="2" t="s">
        <v>52</v>
      </c>
      <c r="C198" s="3" t="s">
        <v>518</v>
      </c>
      <c r="D198" s="2" t="s">
        <v>56</v>
      </c>
    </row>
    <row r="199" spans="1:4" ht="13.8" x14ac:dyDescent="0.25">
      <c r="A199" s="3">
        <v>11</v>
      </c>
      <c r="B199" s="2" t="s">
        <v>52</v>
      </c>
      <c r="C199" s="3" t="s">
        <v>517</v>
      </c>
      <c r="D199" s="2" t="s">
        <v>68</v>
      </c>
    </row>
    <row r="200" spans="1:4" ht="13.8" x14ac:dyDescent="0.25">
      <c r="A200" s="3">
        <v>11</v>
      </c>
      <c r="B200" s="2" t="s">
        <v>52</v>
      </c>
      <c r="C200" s="3" t="s">
        <v>516</v>
      </c>
      <c r="D200" s="2" t="s">
        <v>70</v>
      </c>
    </row>
    <row r="201" spans="1:4" ht="13.8" x14ac:dyDescent="0.25">
      <c r="A201" s="3">
        <v>11</v>
      </c>
      <c r="B201" s="2" t="s">
        <v>52</v>
      </c>
      <c r="C201" s="3" t="s">
        <v>515</v>
      </c>
      <c r="D201" s="2" t="s">
        <v>71</v>
      </c>
    </row>
    <row r="202" spans="1:4" ht="13.8" x14ac:dyDescent="0.25">
      <c r="A202" s="3">
        <v>11</v>
      </c>
      <c r="B202" s="2" t="s">
        <v>52</v>
      </c>
      <c r="C202" s="3" t="s">
        <v>514</v>
      </c>
      <c r="D202" s="2" t="s">
        <v>513</v>
      </c>
    </row>
    <row r="203" spans="1:4" ht="13.8" x14ac:dyDescent="0.25">
      <c r="A203" s="3">
        <v>11</v>
      </c>
      <c r="B203" s="2" t="s">
        <v>52</v>
      </c>
      <c r="C203" s="3" t="s">
        <v>512</v>
      </c>
      <c r="D203" s="2" t="s">
        <v>77</v>
      </c>
    </row>
    <row r="204" spans="1:4" ht="13.8" x14ac:dyDescent="0.25">
      <c r="A204" s="3">
        <v>11</v>
      </c>
      <c r="B204" s="2" t="s">
        <v>52</v>
      </c>
      <c r="C204" s="3">
        <v>128</v>
      </c>
      <c r="D204" s="2" t="s">
        <v>91</v>
      </c>
    </row>
    <row r="205" spans="1:4" ht="13.8" x14ac:dyDescent="0.25">
      <c r="A205" s="3">
        <v>11</v>
      </c>
      <c r="B205" s="2" t="s">
        <v>52</v>
      </c>
      <c r="C205" s="3">
        <v>136</v>
      </c>
      <c r="D205" s="2" t="s">
        <v>93</v>
      </c>
    </row>
    <row r="206" spans="1:4" ht="13.8" x14ac:dyDescent="0.25">
      <c r="A206" s="3">
        <v>11</v>
      </c>
      <c r="B206" s="2" t="s">
        <v>52</v>
      </c>
      <c r="C206" s="3">
        <v>183</v>
      </c>
      <c r="D206" s="2" t="s">
        <v>511</v>
      </c>
    </row>
    <row r="207" spans="1:4" ht="13.8" x14ac:dyDescent="0.25">
      <c r="A207" s="3">
        <v>11</v>
      </c>
      <c r="B207" s="2" t="s">
        <v>52</v>
      </c>
      <c r="C207" s="3">
        <v>201</v>
      </c>
      <c r="D207" s="2" t="s">
        <v>510</v>
      </c>
    </row>
    <row r="208" spans="1:4" ht="13.8" x14ac:dyDescent="0.25">
      <c r="A208" s="3">
        <v>12</v>
      </c>
      <c r="B208" s="2" t="s">
        <v>163</v>
      </c>
      <c r="C208" s="3" t="s">
        <v>509</v>
      </c>
      <c r="D208" s="2" t="s">
        <v>166</v>
      </c>
    </row>
    <row r="209" spans="1:4" ht="13.8" x14ac:dyDescent="0.25">
      <c r="A209" s="3">
        <v>12</v>
      </c>
      <c r="B209" s="2" t="s">
        <v>163</v>
      </c>
      <c r="C209" s="3" t="s">
        <v>508</v>
      </c>
      <c r="D209" s="2" t="s">
        <v>507</v>
      </c>
    </row>
    <row r="210" spans="1:4" ht="13.8" x14ac:dyDescent="0.25">
      <c r="A210" s="3">
        <v>12</v>
      </c>
      <c r="B210" s="2" t="s">
        <v>163</v>
      </c>
      <c r="C210" s="3" t="s">
        <v>506</v>
      </c>
      <c r="D210" s="2" t="s">
        <v>169</v>
      </c>
    </row>
    <row r="211" spans="1:4" ht="13.8" x14ac:dyDescent="0.25">
      <c r="A211" s="3">
        <v>12</v>
      </c>
      <c r="B211" s="2" t="s">
        <v>163</v>
      </c>
      <c r="C211" s="3" t="s">
        <v>505</v>
      </c>
      <c r="D211" s="2" t="s">
        <v>170</v>
      </c>
    </row>
    <row r="212" spans="1:4" ht="13.8" x14ac:dyDescent="0.25">
      <c r="A212" s="3">
        <v>12</v>
      </c>
      <c r="B212" s="2" t="s">
        <v>163</v>
      </c>
      <c r="C212" s="3" t="s">
        <v>504</v>
      </c>
      <c r="D212" s="2" t="s">
        <v>503</v>
      </c>
    </row>
    <row r="213" spans="1:4" ht="13.8" x14ac:dyDescent="0.25">
      <c r="A213" s="3">
        <v>12</v>
      </c>
      <c r="B213" s="2" t="s">
        <v>163</v>
      </c>
      <c r="C213" s="3" t="s">
        <v>502</v>
      </c>
      <c r="D213" s="2" t="s">
        <v>178</v>
      </c>
    </row>
    <row r="214" spans="1:4" ht="13.8" x14ac:dyDescent="0.25">
      <c r="A214" s="3">
        <v>12</v>
      </c>
      <c r="B214" s="2" t="s">
        <v>163</v>
      </c>
      <c r="C214" s="3">
        <v>111</v>
      </c>
      <c r="D214" s="2" t="s">
        <v>185</v>
      </c>
    </row>
    <row r="215" spans="1:4" ht="13.8" x14ac:dyDescent="0.25">
      <c r="A215" s="3">
        <v>12</v>
      </c>
      <c r="B215" s="2" t="s">
        <v>163</v>
      </c>
      <c r="C215" s="3">
        <v>213</v>
      </c>
      <c r="D215" s="2" t="s">
        <v>162</v>
      </c>
    </row>
  </sheetData>
  <mergeCells count="1">
    <mergeCell ref="A1:D1"/>
  </mergeCells>
  <pageMargins left="0.75" right="0.75" top="1" bottom="1" header="0.5" footer="0.5"/>
  <pageSetup paperSize="9" scale="9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Pošte</vt:lpstr>
      <vt:lpstr>Regije</vt:lpstr>
      <vt:lpstr>regije_občine 212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Leskošek, Bojan</dc:creator>
  <cp:keywords/>
  <dc:description/>
  <cp:lastModifiedBy>Leskošek, Bojan</cp:lastModifiedBy>
  <cp:revision/>
  <dcterms:created xsi:type="dcterms:W3CDTF">2026-04-01T17:34:01Z</dcterms:created>
  <dcterms:modified xsi:type="dcterms:W3CDTF">2026-04-02T05:54:37Z</dcterms:modified>
  <cp:category/>
  <cp:contentStatus/>
</cp:coreProperties>
</file>