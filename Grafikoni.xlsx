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gregor_jurak_fsp_uni-lj_si/Documents/GREGOR/FŠ/PROJEKTI/SLOfit/razvoj SLOFIT/spletišče SLOfit/Pot_v_odraslost/ReportOKS/"/>
    </mc:Choice>
  </mc:AlternateContent>
  <xr:revisionPtr revIDLastSave="177" documentId="8_{5DDD1A20-64B4-46DC-A8B3-2796A620B00D}" xr6:coauthVersionLast="47" xr6:coauthVersionMax="47" xr10:uidLastSave="{31A5885C-08DC-40DB-A581-3666BF2FC382}"/>
  <bookViews>
    <workbookView xWindow="-108" yWindow="-108" windowWidth="23256" windowHeight="12456" xr2:uid="{391A92FC-A845-485A-90FD-33777A25B728}"/>
  </bookViews>
  <sheets>
    <sheet name="TabeleStolpci" sheetId="1" r:id="rId1"/>
    <sheet name="grafCentili" sheetId="5" r:id="rId2"/>
    <sheet name="grafCone" sheetId="4" r:id="rId3"/>
  </sheets>
  <definedNames>
    <definedName name="_xlnm._FilterDatabase" localSheetId="1" hidden="1">grafCentili!$O$3:$S$16</definedName>
  </definedName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tc={97CA9043-9921-41C1-A16D-6402811CC869}</author>
  </authors>
  <commentList>
    <comment ref="A1" authorId="0" shapeId="0" xr:uid="{97CA9043-9921-41C1-A16D-6402811CC869}">
      <text>
        <t>[Threaded comment]
Your version of Excel allows you to read this threaded comment; however, any edits to it will get removed if the file is opened in a newer version of Excel. Learn more: https://go.microsoft.com/fwlink/?linkid=870924
Comment:
    --all_table_fields. BL 2026-03-28
SELECT
    fk.name AS ForeignKeyName,
    tp.name AS ParentTable,
    cp.name AS ParentColumn,
    tr.name AS ReferencedTable,
    cr.name AS ReferencedColumn
FROM sys.foreign_keys fk
INNER JOIN sys.foreign_key_columns fkc 
    ON fk.object_id = fkc.constraint_object_id
INNER JOIN sys.tables tp 
    ON fkc.parent_object_id = tp.object_id
INNER JOIN sys.columns cp 
    ON fkc.parent_object_id = cp.object_id 
    AND fkc.parent_column_id = cp.column_id
INNER JOIN sys.tables tr 
    ON fkc.referenced_object_id = tr.object_id
INNER JOIN sys.columns cr 
    ON fkc.referenced_object_id = cr.object_id 
    AND fkc.referenced_column_id = cr.column_id
where tp.name in ('BaterijaTestov', 'Clan', 'Cona', 'ConaStarost', 'DostopUporabnikaDoClana', 'IzvajalecMeritev', 'Meritev', 'Merjenec', 'Rezultat', 'Test', 'Uporabnik', 'UporabnikPriIzvajalcu')
ORDER BY tp.name, fk.name;
SELECT
    t.name AS TableName,
    c.name AS ColumnName,
    ty.name AS DataType,
    c.max_length AS MaxLength,
    c.is_nullable AS IsNullable,
    c.column_id AS ColumnOrder
FROM sys.tables t
JOIN sys.columns c 
    ON t.object_id = c.object_id
JOIN sys.types ty
    ON c.user_type_id = ty.user_type_id
ORDER BY t.name, c.column_id;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tc={C6FC3EAA-14BD-4878-BDBF-9F5B1C7E997F}</author>
  </authors>
  <commentList>
    <comment ref="A1" authorId="0" shapeId="0" xr:uid="{C6FC3EAA-14BD-4878-BDBF-9F5B1C7E997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5ED31-8102-49CC-9199-C079DC43DF0E}" keepAlive="1" name="Query - Moj SLOfit aplikacija  Moj SLOfit  SQL (4)" description="Connection to the 'Moj SLOfit aplikacija  Moj SLOfit  SQL (4)' query in the workbook." type="5" refreshedVersion="0" background="1" saveData="1">
    <dbPr connection="Provider=Microsoft.Mashup.OleDb.1;Data Source=$Workbook$;Location=&quot;Moj SLOfit aplikacija  Moj SLOfit  SQL (4)&quot;;Extended Properties=&quot;&quot;" command="SELECT * FROM [Moj SLOfit aplikacija  Moj SLOfit  SQL (4)]"/>
  </connection>
</connections>
</file>

<file path=xl/sharedStrings.xml><?xml version="1.0" encoding="utf-8"?>
<sst xmlns="http://schemas.openxmlformats.org/spreadsheetml/2006/main" count="1233" uniqueCount="195">
  <si>
    <t>TableName</t>
  </si>
  <si>
    <t>ColumnName</t>
  </si>
  <si>
    <t>DataType</t>
  </si>
  <si>
    <t>MaxLength</t>
  </si>
  <si>
    <t>ColumnOrder</t>
  </si>
  <si>
    <t>BaterijaTestov</t>
  </si>
  <si>
    <t>ID</t>
  </si>
  <si>
    <t>int</t>
  </si>
  <si>
    <t>Ime</t>
  </si>
  <si>
    <t>nvarchar</t>
  </si>
  <si>
    <t>Row Labels</t>
  </si>
  <si>
    <t>Opombe</t>
  </si>
  <si>
    <t>JeVprasalnik</t>
  </si>
  <si>
    <t>bit</t>
  </si>
  <si>
    <t>Clan</t>
  </si>
  <si>
    <t>DovoljenLastniVnos</t>
  </si>
  <si>
    <t>Cona</t>
  </si>
  <si>
    <t>Zastarana</t>
  </si>
  <si>
    <t>ConaStarost</t>
  </si>
  <si>
    <t>SamoZaOdrasle</t>
  </si>
  <si>
    <t>DostopUporabnikaDoClana</t>
  </si>
  <si>
    <t>Slika</t>
  </si>
  <si>
    <t>IzvajalecMeritev</t>
  </si>
  <si>
    <t>Meritev</t>
  </si>
  <si>
    <t>PriimekInIme</t>
  </si>
  <si>
    <t>Merjenec</t>
  </si>
  <si>
    <t>DatumRojstva</t>
  </si>
  <si>
    <t>datetime</t>
  </si>
  <si>
    <t>Rezultat</t>
  </si>
  <si>
    <t>Spol</t>
  </si>
  <si>
    <t>Test</t>
  </si>
  <si>
    <t>Uporabnik</t>
  </si>
  <si>
    <t>Priimek</t>
  </si>
  <si>
    <t>UporabnikPriIzvajalcu</t>
  </si>
  <si>
    <t>Grand Total</t>
  </si>
  <si>
    <t>AktualniIzvajalecMeritevID</t>
  </si>
  <si>
    <t>Oddelek</t>
  </si>
  <si>
    <t>LetoOddelka</t>
  </si>
  <si>
    <t>Emso</t>
  </si>
  <si>
    <t>JeZadnjiLetnik</t>
  </si>
  <si>
    <t>JeAnonimen</t>
  </si>
  <si>
    <t>DatumBrisanje</t>
  </si>
  <si>
    <t>JeTrajnoHranjenje</t>
  </si>
  <si>
    <t>RazlogZaBrisanje</t>
  </si>
  <si>
    <t>DateCreated</t>
  </si>
  <si>
    <t>PrehodVlogeClanOdrasel</t>
  </si>
  <si>
    <t>ImeCone</t>
  </si>
  <si>
    <t>ImeCrte</t>
  </si>
  <si>
    <t>ZapSt</t>
  </si>
  <si>
    <t>BarvaCrte</t>
  </si>
  <si>
    <t>DebelinaCrte</t>
  </si>
  <si>
    <t>SlogCrte</t>
  </si>
  <si>
    <t>BarvaCone</t>
  </si>
  <si>
    <t>Starost</t>
  </si>
  <si>
    <t>float</t>
  </si>
  <si>
    <t>Vrednost</t>
  </si>
  <si>
    <t>IdUporabnik</t>
  </si>
  <si>
    <t>IdClan</t>
  </si>
  <si>
    <t>IdVloga</t>
  </si>
  <si>
    <t>Opomba</t>
  </si>
  <si>
    <t>IdStatusDostopa</t>
  </si>
  <si>
    <t>FunkcijaUporabnika</t>
  </si>
  <si>
    <t>Naziv</t>
  </si>
  <si>
    <t>Tip</t>
  </si>
  <si>
    <t>Naslov</t>
  </si>
  <si>
    <t>KontaktEposta</t>
  </si>
  <si>
    <t>KontaktTelefon</t>
  </si>
  <si>
    <t>SVKoznaka</t>
  </si>
  <si>
    <t>Administrator</t>
  </si>
  <si>
    <t>LogoUrl</t>
  </si>
  <si>
    <t>Ravnatelj</t>
  </si>
  <si>
    <t>EpostaRavnatelj</t>
  </si>
  <si>
    <t>KontaktTelefonOpombe</t>
  </si>
  <si>
    <t>NamestnikAdministratorja</t>
  </si>
  <si>
    <t>SVKoseba</t>
  </si>
  <si>
    <t>OsnovniTip</t>
  </si>
  <si>
    <t>StPogodbe</t>
  </si>
  <si>
    <t>SpletnaStran</t>
  </si>
  <si>
    <t>IzvajanjeOdraslihMeritev</t>
  </si>
  <si>
    <t>IsDeleted</t>
  </si>
  <si>
    <t>VeljavnostPogodbeOd</t>
  </si>
  <si>
    <t>CreateDate</t>
  </si>
  <si>
    <t>EducationalProgramID</t>
  </si>
  <si>
    <t>StateID</t>
  </si>
  <si>
    <t>Datum</t>
  </si>
  <si>
    <t>Izvajalec</t>
  </si>
  <si>
    <t>KrajInOpombe</t>
  </si>
  <si>
    <t>Status</t>
  </si>
  <si>
    <t>smallint</t>
  </si>
  <si>
    <t>JeRednaMeritev</t>
  </si>
  <si>
    <t>CalculationLastDate</t>
  </si>
  <si>
    <t>DatumOddaje</t>
  </si>
  <si>
    <t>DatumPotrditve</t>
  </si>
  <si>
    <t>IdMeritev</t>
  </si>
  <si>
    <t>Skupina</t>
  </si>
  <si>
    <t>IdVadbenaSkupina</t>
  </si>
  <si>
    <t>DatumMeritve</t>
  </si>
  <si>
    <t>IdMerjenec</t>
  </si>
  <si>
    <t>IdTest</t>
  </si>
  <si>
    <t>VrednostZaokrozeno</t>
  </si>
  <si>
    <t>CentilniRang1</t>
  </si>
  <si>
    <t>CentilniRang2</t>
  </si>
  <si>
    <t>Preracun</t>
  </si>
  <si>
    <t>PonovniIzracun</t>
  </si>
  <si>
    <t>UpdatedOn</t>
  </si>
  <si>
    <t>ConaID</t>
  </si>
  <si>
    <t>ConaBarva</t>
  </si>
  <si>
    <t>nchar</t>
  </si>
  <si>
    <t>Sifra</t>
  </si>
  <si>
    <t>Enota</t>
  </si>
  <si>
    <t>Decimalk</t>
  </si>
  <si>
    <t>VisjiBoljsi</t>
  </si>
  <si>
    <t>Opis</t>
  </si>
  <si>
    <t>Formula</t>
  </si>
  <si>
    <t>KratekOpis</t>
  </si>
  <si>
    <t>DaljsiOpis</t>
  </si>
  <si>
    <t>Url</t>
  </si>
  <si>
    <t>KratekOpisPrikaz</t>
  </si>
  <si>
    <t>DovoljenVnos</t>
  </si>
  <si>
    <t>Sirina</t>
  </si>
  <si>
    <t>PorociloOpis</t>
  </si>
  <si>
    <t>ImaCone</t>
  </si>
  <si>
    <t>GrafYminM</t>
  </si>
  <si>
    <t>GrafYmaxM</t>
  </si>
  <si>
    <t>GrafYminZ</t>
  </si>
  <si>
    <t>GrafYmaxZ</t>
  </si>
  <si>
    <t>GrafYStep</t>
  </si>
  <si>
    <t>Ikona</t>
  </si>
  <si>
    <t>Eposta</t>
  </si>
  <si>
    <t>Geslo</t>
  </si>
  <si>
    <t>IsPoslan</t>
  </si>
  <si>
    <t>XlsID</t>
  </si>
  <si>
    <t>starogeslo</t>
  </si>
  <si>
    <t>DnnStariID</t>
  </si>
  <si>
    <t>RegistrationGUID</t>
  </si>
  <si>
    <t>uniqueidentifier</t>
  </si>
  <si>
    <t>RegistrationGUIDValid</t>
  </si>
  <si>
    <t>Telefon</t>
  </si>
  <si>
    <t>PrikaznoIme</t>
  </si>
  <si>
    <t>DnnUpIme</t>
  </si>
  <si>
    <t>Nepreverjen</t>
  </si>
  <si>
    <t>NepreverjeniOsebniPodatki</t>
  </si>
  <si>
    <t>DatumVerifikacije</t>
  </si>
  <si>
    <t>VerificiralAdmin</t>
  </si>
  <si>
    <t>VerificationRequired</t>
  </si>
  <si>
    <t>VeljavnoSoglasje</t>
  </si>
  <si>
    <t>GDPR</t>
  </si>
  <si>
    <t>SVKTransfearAccepted</t>
  </si>
  <si>
    <t>PostalCodeID</t>
  </si>
  <si>
    <t>IDizvajalca</t>
  </si>
  <si>
    <t>IDuporabnika</t>
  </si>
  <si>
    <t>DatumVpisa</t>
  </si>
  <si>
    <t>Vpisal</t>
  </si>
  <si>
    <t>NeavtoriziranUporabnik</t>
  </si>
  <si>
    <t>Zmigaj</t>
  </si>
  <si>
    <t>TestIme</t>
  </si>
  <si>
    <t>Povprecje</t>
  </si>
  <si>
    <t>StandardniOdklon</t>
  </si>
  <si>
    <t>SteviloVrednosti</t>
  </si>
  <si>
    <t>Average of Povprecje</t>
  </si>
  <si>
    <t>Column Labels</t>
  </si>
  <si>
    <t>6-minutni test hoje</t>
  </si>
  <si>
    <t>Povprečje skupine</t>
  </si>
  <si>
    <t>Dotikanje plošč z roko</t>
  </si>
  <si>
    <t>Rang</t>
  </si>
  <si>
    <t>ZmigajSdV</t>
  </si>
  <si>
    <t>Regija</t>
  </si>
  <si>
    <t>Država</t>
  </si>
  <si>
    <t>Indeks telesne mase</t>
  </si>
  <si>
    <t>Telesna višina</t>
  </si>
  <si>
    <t>Navpični skok</t>
  </si>
  <si>
    <t>Telesna masa</t>
  </si>
  <si>
    <t>Obseg pasu</t>
  </si>
  <si>
    <t>Predklon sede</t>
  </si>
  <si>
    <t>Stisk pesti</t>
  </si>
  <si>
    <t>Tek na 600 m</t>
  </si>
  <si>
    <t>Tek v osmici</t>
  </si>
  <si>
    <t>Upogibanje trupa</t>
  </si>
  <si>
    <t>Vesa v zgibi</t>
  </si>
  <si>
    <t>Moj SLOfit aplikacija &gt; Moj SLOfit &gt; SQL</t>
  </si>
  <si>
    <t>Gorenjska</t>
  </si>
  <si>
    <t>Slovenija</t>
  </si>
  <si>
    <t>Zdravo</t>
  </si>
  <si>
    <t>Mejno</t>
  </si>
  <si>
    <t>Tvegano</t>
  </si>
  <si>
    <t>Rabimo tak grafikon, le da je namesto M/Ž skupina (ZmigajSdv, Regija, Slovenija)</t>
  </si>
  <si>
    <t>Tvegano=rdeča</t>
  </si>
  <si>
    <t>Mejno=rumena</t>
  </si>
  <si>
    <t>VlogaUporabnika</t>
  </si>
  <si>
    <t>IsNullable</t>
  </si>
  <si>
    <t>Prioriteta</t>
  </si>
  <si>
    <t>TestVbateriji</t>
  </si>
  <si>
    <t>IdBaterija</t>
  </si>
  <si>
    <t>PrioritetaPrikaza</t>
  </si>
  <si>
    <t>PrioritetaVnos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</si>
</sst>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1" fillId="2" borderId="5" xfId="0" applyNumberFormat="1" applyFont="1" applyFill="1" applyBorder="1"/>
    <xf numFmtId="2" fontId="0" fillId="3" borderId="5" xfId="0" applyNumberFormat="1" applyFill="1" applyBorder="1"/>
    <xf numFmtId="2" fontId="0" fillId="0" borderId="5" xfId="0" applyNumberFormat="1" applyBorder="1"/>
    <xf numFmtId="2" fontId="0" fillId="0" borderId="2" xfId="0" applyNumberFormat="1" applyBorder="1"/>
    <xf numFmtId="2" fontId="0" fillId="0" borderId="0" xfId="0" applyNumberFormat="1"/>
    <xf numFmtId="164" fontId="1" fillId="2" borderId="5" xfId="0" applyNumberFormat="1" applyFont="1" applyFill="1" applyBorder="1"/>
    <xf numFmtId="164" fontId="0" fillId="3" borderId="5" xfId="0" applyNumberFormat="1" applyFill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0" xfId="0" applyNumberFormat="1"/>
    <xf numFmtId="1" fontId="0" fillId="3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" fontId="0" fillId="3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[Grafikoni.xlsx]grafCentili!PivotTable2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grafCentili!$I$1:$I$2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grafCentili!$H$3:$H$16</c:f>
              <c:strCache>
                <c:ptCount val="13"/>
                <c:pt idx="0">
                  <c:v>6-minutni test hoje</c:v>
                </c:pt>
                <c:pt idx="1">
                  <c:v>Dotikanje plošč z roko</c:v>
                </c:pt>
                <c:pt idx="2">
                  <c:v>Indeks telesne mase</c:v>
                </c:pt>
                <c:pt idx="3">
                  <c:v>Navpični skok</c:v>
                </c:pt>
                <c:pt idx="4">
                  <c:v>Obseg pasu</c:v>
                </c:pt>
                <c:pt idx="5">
                  <c:v>Predklon sede</c:v>
                </c:pt>
                <c:pt idx="6">
                  <c:v>Stisk pesti</c:v>
                </c:pt>
                <c:pt idx="7">
                  <c:v>Tek na 600 m</c:v>
                </c:pt>
                <c:pt idx="8">
                  <c:v>Tek v osmici</c:v>
                </c:pt>
                <c:pt idx="9">
                  <c:v>Telesna masa</c:v>
                </c:pt>
                <c:pt idx="10">
                  <c:v>Telesna višina</c:v>
                </c:pt>
                <c:pt idx="11">
                  <c:v>Upogibanje trupa</c:v>
                </c:pt>
                <c:pt idx="12">
                  <c:v>Vesa v zgibi</c:v>
                </c:pt>
              </c:strCache>
            </c:strRef>
          </c:cat>
          <c:val>
            <c:numRef>
              <c:f>grafCentili!$I$3:$I$16</c:f>
              <c:numCache>
                <c:formatCode>0.0</c:formatCode>
                <c:ptCount val="13"/>
                <c:pt idx="0">
                  <c:v>55.996632010675754</c:v>
                </c:pt>
                <c:pt idx="1">
                  <c:v>69.861497020936355</c:v>
                </c:pt>
                <c:pt idx="2">
                  <c:v>53.178036731119406</c:v>
                </c:pt>
                <c:pt idx="3">
                  <c:v>35.564329140717845</c:v>
                </c:pt>
                <c:pt idx="4">
                  <c:v>31.389192267087402</c:v>
                </c:pt>
                <c:pt idx="5">
                  <c:v>41.908827761539797</c:v>
                </c:pt>
                <c:pt idx="6">
                  <c:v>48.727933980511196</c:v>
                </c:pt>
                <c:pt idx="7">
                  <c:v>32.603438926940647</c:v>
                </c:pt>
                <c:pt idx="8">
                  <c:v>47.118885539328645</c:v>
                </c:pt>
                <c:pt idx="9">
                  <c:v>52.435714281169297</c:v>
                </c:pt>
                <c:pt idx="10">
                  <c:v>63.388064258878146</c:v>
                </c:pt>
                <c:pt idx="11">
                  <c:v>88.405621650553996</c:v>
                </c:pt>
                <c:pt idx="12">
                  <c:v>33.837762557077596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4-4B3C-BFB9-7FCB7CAD2B01}"/>
            </c:ext>
          </c:extLst>
        </c:ser>
        <c:ser>
          <c:idx val="1"/>
          <c:order val="1"/>
          <c:tx>
            <c:strRef>
              <c:f>grafCentili!$J$1:$J$2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grafCentili!$H$3:$H$16</c:f>
              <c:strCache>
                <c:ptCount val="13"/>
                <c:pt idx="0">
                  <c:v>6-minutni test hoje</c:v>
                </c:pt>
                <c:pt idx="1">
                  <c:v>Dotikanje plošč z roko</c:v>
                </c:pt>
                <c:pt idx="2">
                  <c:v>Indeks telesne mase</c:v>
                </c:pt>
                <c:pt idx="3">
                  <c:v>Navpični skok</c:v>
                </c:pt>
                <c:pt idx="4">
                  <c:v>Obseg pasu</c:v>
                </c:pt>
                <c:pt idx="5">
                  <c:v>Predklon sede</c:v>
                </c:pt>
                <c:pt idx="6">
                  <c:v>Stisk pesti</c:v>
                </c:pt>
                <c:pt idx="7">
                  <c:v>Tek na 600 m</c:v>
                </c:pt>
                <c:pt idx="8">
                  <c:v>Tek v osmici</c:v>
                </c:pt>
                <c:pt idx="9">
                  <c:v>Telesna masa</c:v>
                </c:pt>
                <c:pt idx="10">
                  <c:v>Telesna višina</c:v>
                </c:pt>
                <c:pt idx="11">
                  <c:v>Upogibanje trupa</c:v>
                </c:pt>
                <c:pt idx="12">
                  <c:v>Vesa v zgibi</c:v>
                </c:pt>
              </c:strCache>
            </c:strRef>
          </c:cat>
          <c:val>
            <c:numRef>
              <c:f>grafCentili!$J$3:$J$16</c:f>
              <c:numCache>
                <c:formatCode>0.0</c:formatCode>
                <c:ptCount val="13"/>
                <c:pt idx="0">
                  <c:v>24.31698468628883</c:v>
                </c:pt>
                <c:pt idx="1">
                  <c:v>70.065294493809901</c:v>
                </c:pt>
                <c:pt idx="2">
                  <c:v>44.507431190302555</c:v>
                </c:pt>
                <c:pt idx="3">
                  <c:v>45.609731216419348</c:v>
                </c:pt>
                <c:pt idx="4">
                  <c:v>46.441334726457796</c:v>
                </c:pt>
                <c:pt idx="5">
                  <c:v>28.167631129698101</c:v>
                </c:pt>
                <c:pt idx="6">
                  <c:v>49.618936668687596</c:v>
                </c:pt>
                <c:pt idx="7">
                  <c:v>21.574208147091802</c:v>
                </c:pt>
                <c:pt idx="8">
                  <c:v>43.547414440532151</c:v>
                </c:pt>
                <c:pt idx="9">
                  <c:v>56.8408817222682</c:v>
                </c:pt>
                <c:pt idx="10">
                  <c:v>58.298435602741151</c:v>
                </c:pt>
                <c:pt idx="11">
                  <c:v>59.927523582281751</c:v>
                </c:pt>
                <c:pt idx="12">
                  <c:v>30.50772209805065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4-4B3C-BFB9-7FCB7CAD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061696"/>
        <c:axId val="69060736"/>
      </c:barChart>
      <c:catAx>
        <c:axId val="690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9060736"/>
        <c:crosses val="autoZero"/>
        <c:auto val="1"/>
        <c:lblAlgn val="ctr"/>
        <c:lblOffset val="100"/>
        <c:noMultiLvlLbl val="0"/>
      </c:catAx>
      <c:valAx>
        <c:axId val="690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90616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grafCentili!$Q$3</c:f>
              <c:strCache>
                <c:ptCount val="1"/>
                <c:pt idx="0">
                  <c:v>ZmigajSdV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grafCentili!$Q$4:$Q$16</c:f>
              <c:numCache>
                <c:formatCode>0.0</c:formatCode>
                <c:ptCount val="13"/>
                <c:pt idx="0">
                  <c:v>63.388064258878146</c:v>
                </c:pt>
                <c:pt idx="1">
                  <c:v>52.435714281169297</c:v>
                </c:pt>
                <c:pt idx="2">
                  <c:v>53.178036731119406</c:v>
                </c:pt>
                <c:pt idx="3">
                  <c:v>31.389192267087402</c:v>
                </c:pt>
                <c:pt idx="4">
                  <c:v>35.564329140717845</c:v>
                </c:pt>
                <c:pt idx="5">
                  <c:v>47.118885539328645</c:v>
                </c:pt>
                <c:pt idx="6">
                  <c:v>48.727933980511196</c:v>
                </c:pt>
                <c:pt idx="7">
                  <c:v>69.861497020936355</c:v>
                </c:pt>
                <c:pt idx="8">
                  <c:v>41.908827761539797</c:v>
                </c:pt>
                <c:pt idx="9">
                  <c:v>88.405621650553996</c:v>
                </c:pt>
                <c:pt idx="10">
                  <c:v>55.996632010675754</c:v>
                </c:pt>
                <c:pt idx="11">
                  <c:v>32.603438926940647</c:v>
                </c:pt>
                <c:pt idx="12">
                  <c:v>33.837762557077596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7-4770-89B3-C605C7C523B4}"/>
            </c:ext>
          </c:extLst>
        </c:ser>
        <c:ser>
          <c:idx val="1"/>
          <c:order val="1"/>
          <c:tx>
            <c:strRef>
              <c:f>grafCentili!$R$3</c:f>
              <c:strCache>
                <c:ptCount val="1"/>
                <c:pt idx="0">
                  <c:v>Regija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grafCentili!$R$4:$R$16</c:f>
              <c:numCache>
                <c:formatCode>0.0</c:formatCode>
                <c:ptCount val="13"/>
                <c:pt idx="0">
                  <c:v>71.687704043550639</c:v>
                </c:pt>
                <c:pt idx="1">
                  <c:v>59.107708082096643</c:v>
                </c:pt>
                <c:pt idx="2">
                  <c:v>59.772117020960295</c:v>
                </c:pt>
                <c:pt idx="3">
                  <c:v>32.641264588415972</c:v>
                </c:pt>
                <c:pt idx="4">
                  <c:v>44.107673663078643</c:v>
                </c:pt>
                <c:pt idx="5">
                  <c:v>55.443570100995444</c:v>
                </c:pt>
                <c:pt idx="6">
                  <c:v>51.242516792973881</c:v>
                </c:pt>
                <c:pt idx="7">
                  <c:v>75.546035795669368</c:v>
                </c:pt>
                <c:pt idx="8">
                  <c:v>47.149987988435193</c:v>
                </c:pt>
                <c:pt idx="9">
                  <c:v>91.005354236363445</c:v>
                </c:pt>
                <c:pt idx="10">
                  <c:v>63.262930561826074</c:v>
                </c:pt>
                <c:pt idx="11">
                  <c:v>41.70040220460556</c:v>
                </c:pt>
                <c:pt idx="12">
                  <c:v>41.103746125549236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7-4770-89B3-C605C7C523B4}"/>
            </c:ext>
          </c:extLst>
        </c:ser>
        <c:ser>
          <c:idx val="2"/>
          <c:order val="2"/>
          <c:tx>
            <c:strRef>
              <c:f>grafCentili!$S$3</c:f>
              <c:strCache>
                <c:ptCount val="1"/>
                <c:pt idx="0">
                  <c:v>Država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grafCentili!$P$4:$P$16</c:f>
              <c:strCache>
                <c:ptCount val="13"/>
                <c:pt idx="0">
                  <c:v>Telesna višina</c:v>
                </c:pt>
                <c:pt idx="1">
                  <c:v>Telesna masa</c:v>
                </c:pt>
                <c:pt idx="2">
                  <c:v>Indeks telesne mase</c:v>
                </c:pt>
                <c:pt idx="3">
                  <c:v>Obseg pasu</c:v>
                </c:pt>
                <c:pt idx="4">
                  <c:v>Navpični skok</c:v>
                </c:pt>
                <c:pt idx="5">
                  <c:v>Tek v osmici</c:v>
                </c:pt>
                <c:pt idx="6">
                  <c:v>Stisk pesti</c:v>
                </c:pt>
                <c:pt idx="7">
                  <c:v>Dotikanje plošč z roko</c:v>
                </c:pt>
                <c:pt idx="8">
                  <c:v>Predklon sede</c:v>
                </c:pt>
                <c:pt idx="9">
                  <c:v>Upogibanje trupa</c:v>
                </c:pt>
                <c:pt idx="10">
                  <c:v>6-minutni test hoje</c:v>
                </c:pt>
                <c:pt idx="11">
                  <c:v>Tek na 600 m</c:v>
                </c:pt>
                <c:pt idx="12">
                  <c:v>Vesa v zgibi</c:v>
                </c:pt>
              </c:strCache>
            </c:strRef>
          </c:cat>
          <c:val>
            <c:numRef>
              <c:f>grafCentili!$S$4:$S$16</c:f>
              <c:numCache>
                <c:formatCode>0.0</c:formatCode>
                <c:ptCount val="13"/>
                <c:pt idx="0">
                  <c:v>75.388654341585223</c:v>
                </c:pt>
                <c:pt idx="1">
                  <c:v>62.584361633317343</c:v>
                </c:pt>
                <c:pt idx="2">
                  <c:v>60.480899320862349</c:v>
                </c:pt>
                <c:pt idx="3">
                  <c:v>39.419987905017869</c:v>
                </c:pt>
                <c:pt idx="4">
                  <c:v>48.048061203985334</c:v>
                </c:pt>
                <c:pt idx="5">
                  <c:v>59.31942707800269</c:v>
                </c:pt>
                <c:pt idx="6">
                  <c:v>55.733455924282971</c:v>
                </c:pt>
                <c:pt idx="7">
                  <c:v>75.617780292210597</c:v>
                </c:pt>
                <c:pt idx="8">
                  <c:v>56.020625318395062</c:v>
                </c:pt>
                <c:pt idx="9">
                  <c:v>92</c:v>
                </c:pt>
                <c:pt idx="10">
                  <c:v>64.87664158611949</c:v>
                </c:pt>
                <c:pt idx="11">
                  <c:v>43.419018140145461</c:v>
                </c:pt>
                <c:pt idx="12">
                  <c:v>49.961941823599645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7-4770-89B3-C605C7C5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542816"/>
        <c:axId val="712994272"/>
      </c:barChart>
      <c:catAx>
        <c:axId val="20365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12994272"/>
        <c:crossesAt val="50"/>
        <c:auto val="1"/>
        <c:lblAlgn val="ctr"/>
        <c:lblOffset val="100"/>
        <c:noMultiLvlLbl val="0"/>
      </c:catAx>
      <c:valAx>
        <c:axId val="712994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Povprečni 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3654281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grafCone!$C$1</c:f>
              <c:strCache>
                <c:ptCount val="1"/>
                <c:pt idx="0">
                  <c:v>Zdravo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grafCone!$A$2:$B$46</c:f>
              <c:multiLvlStrCache>
                <c:ptCount val="45"/>
                <c:lvl>
                  <c:pt idx="0">
                    <c:v>6-minutni test hoje</c:v>
                  </c:pt>
                  <c:pt idx="1">
                    <c:v>6-minutni test hoje</c:v>
                  </c:pt>
                  <c:pt idx="2">
                    <c:v>6-minutni test hoje</c:v>
                  </c:pt>
                  <c:pt idx="3">
                    <c:v>Dotikanje plošč z roko</c:v>
                  </c:pt>
                  <c:pt idx="4">
                    <c:v>Dotikanje plošč z roko</c:v>
                  </c:pt>
                  <c:pt idx="5">
                    <c:v>Dotikanje plošč z roko</c:v>
                  </c:pt>
                  <c:pt idx="6">
                    <c:v>Indeks telesne mase</c:v>
                  </c:pt>
                  <c:pt idx="7">
                    <c:v>Indeks telesne mase</c:v>
                  </c:pt>
                  <c:pt idx="8">
                    <c:v>Indeks telesne mase</c:v>
                  </c:pt>
                  <c:pt idx="9">
                    <c:v>Navpični skok</c:v>
                  </c:pt>
                  <c:pt idx="10">
                    <c:v>Navpični skok</c:v>
                  </c:pt>
                  <c:pt idx="11">
                    <c:v>Navpični skok</c:v>
                  </c:pt>
                  <c:pt idx="12">
                    <c:v>Obseg pasu</c:v>
                  </c:pt>
                  <c:pt idx="13">
                    <c:v>Obseg pasu</c:v>
                  </c:pt>
                  <c:pt idx="14">
                    <c:v>Obseg pasu</c:v>
                  </c:pt>
                  <c:pt idx="15">
                    <c:v>Predklon sede</c:v>
                  </c:pt>
                  <c:pt idx="16">
                    <c:v>Predklon sede</c:v>
                  </c:pt>
                  <c:pt idx="17">
                    <c:v>Predklon sede</c:v>
                  </c:pt>
                  <c:pt idx="18">
                    <c:v>Predklon sede</c:v>
                  </c:pt>
                  <c:pt idx="19">
                    <c:v>Predklon sede</c:v>
                  </c:pt>
                  <c:pt idx="20">
                    <c:v>Predklon sede</c:v>
                  </c:pt>
                  <c:pt idx="21">
                    <c:v>Stisk pesti</c:v>
                  </c:pt>
                  <c:pt idx="22">
                    <c:v>Stisk pesti</c:v>
                  </c:pt>
                  <c:pt idx="23">
                    <c:v>Stisk pesti</c:v>
                  </c:pt>
                  <c:pt idx="24">
                    <c:v>Stisk pesti</c:v>
                  </c:pt>
                  <c:pt idx="25">
                    <c:v>Stisk pesti</c:v>
                  </c:pt>
                  <c:pt idx="26">
                    <c:v>Stisk pesti</c:v>
                  </c:pt>
                  <c:pt idx="27">
                    <c:v>Stisk pesti</c:v>
                  </c:pt>
                  <c:pt idx="28">
                    <c:v>Stisk pesti</c:v>
                  </c:pt>
                  <c:pt idx="29">
                    <c:v>Stisk pesti</c:v>
                  </c:pt>
                  <c:pt idx="30">
                    <c:v>Tek na 600 m</c:v>
                  </c:pt>
                  <c:pt idx="31">
                    <c:v>Tek na 600 m</c:v>
                  </c:pt>
                  <c:pt idx="32">
                    <c:v>Tek na 600 m</c:v>
                  </c:pt>
                  <c:pt idx="33">
                    <c:v>Tek na 600 m</c:v>
                  </c:pt>
                  <c:pt idx="34">
                    <c:v>Tek na 600 m</c:v>
                  </c:pt>
                  <c:pt idx="35">
                    <c:v>Tek na 600 m</c:v>
                  </c:pt>
                  <c:pt idx="36">
                    <c:v>Tek v osmici</c:v>
                  </c:pt>
                  <c:pt idx="37">
                    <c:v>Tek v osmici</c:v>
                  </c:pt>
                  <c:pt idx="38">
                    <c:v>Tek v osmici</c:v>
                  </c:pt>
                  <c:pt idx="39">
                    <c:v>Upogibanje trupa</c:v>
                  </c:pt>
                  <c:pt idx="40">
                    <c:v>Upogibanje trupa</c:v>
                  </c:pt>
                  <c:pt idx="41">
                    <c:v>Upogibanje trupa</c:v>
                  </c:pt>
                  <c:pt idx="42">
                    <c:v>Vesa v zgibi</c:v>
                  </c:pt>
                  <c:pt idx="43">
                    <c:v>Vesa v zgibi</c:v>
                  </c:pt>
                  <c:pt idx="44">
                    <c:v>Vesa v zgibi</c:v>
                  </c:pt>
                </c:lvl>
                <c:lvl>
                  <c:pt idx="0">
                    <c:v>ZmigajSdV</c:v>
                  </c:pt>
                  <c:pt idx="1">
                    <c:v>Gorenjska</c:v>
                  </c:pt>
                  <c:pt idx="2">
                    <c:v>Slovenija</c:v>
                  </c:pt>
                  <c:pt idx="3">
                    <c:v>ZmigajSdV</c:v>
                  </c:pt>
                  <c:pt idx="4">
                    <c:v>Gorenjska</c:v>
                  </c:pt>
                  <c:pt idx="5">
                    <c:v>Slovenija</c:v>
                  </c:pt>
                  <c:pt idx="6">
                    <c:v>ZmigajSdV</c:v>
                  </c:pt>
                  <c:pt idx="7">
                    <c:v>Gorenjska</c:v>
                  </c:pt>
                  <c:pt idx="8">
                    <c:v>Slovenija</c:v>
                  </c:pt>
                  <c:pt idx="9">
                    <c:v>ZmigajSdV</c:v>
                  </c:pt>
                  <c:pt idx="10">
                    <c:v>Gorenjska</c:v>
                  </c:pt>
                  <c:pt idx="11">
                    <c:v>Slovenija</c:v>
                  </c:pt>
                  <c:pt idx="12">
                    <c:v>ZmigajSdV</c:v>
                  </c:pt>
                  <c:pt idx="13">
                    <c:v>Gorenjska</c:v>
                  </c:pt>
                  <c:pt idx="14">
                    <c:v>Slovenija</c:v>
                  </c:pt>
                  <c:pt idx="15">
                    <c:v>ZmigajSdV</c:v>
                  </c:pt>
                  <c:pt idx="16">
                    <c:v>ZmigajSdV</c:v>
                  </c:pt>
                  <c:pt idx="17">
                    <c:v>Gorenjska</c:v>
                  </c:pt>
                  <c:pt idx="18">
                    <c:v>Gorenjska</c:v>
                  </c:pt>
                  <c:pt idx="19">
                    <c:v>Slovenija</c:v>
                  </c:pt>
                  <c:pt idx="20">
                    <c:v>Slovenija</c:v>
                  </c:pt>
                  <c:pt idx="21">
                    <c:v>ZmigajSdV</c:v>
                  </c:pt>
                  <c:pt idx="22">
                    <c:v>ZmigajSdV</c:v>
                  </c:pt>
                  <c:pt idx="23">
                    <c:v>ZmigajSdV</c:v>
                  </c:pt>
                  <c:pt idx="24">
                    <c:v>Gorenjska</c:v>
                  </c:pt>
                  <c:pt idx="25">
                    <c:v>Gorenjska</c:v>
                  </c:pt>
                  <c:pt idx="26">
                    <c:v>Gorenjska</c:v>
                  </c:pt>
                  <c:pt idx="27">
                    <c:v>Slovenija</c:v>
                  </c:pt>
                  <c:pt idx="28">
                    <c:v>Slovenija</c:v>
                  </c:pt>
                  <c:pt idx="29">
                    <c:v>Slovenija</c:v>
                  </c:pt>
                  <c:pt idx="30">
                    <c:v>ZmigajSdV</c:v>
                  </c:pt>
                  <c:pt idx="31">
                    <c:v>ZmigajSdV</c:v>
                  </c:pt>
                  <c:pt idx="32">
                    <c:v>Gorenjska</c:v>
                  </c:pt>
                  <c:pt idx="33">
                    <c:v>Gorenjska</c:v>
                  </c:pt>
                  <c:pt idx="34">
                    <c:v>Slovenija</c:v>
                  </c:pt>
                  <c:pt idx="35">
                    <c:v>Slovenija</c:v>
                  </c:pt>
                  <c:pt idx="36">
                    <c:v>ZmigajSdV</c:v>
                  </c:pt>
                  <c:pt idx="37">
                    <c:v>Gorenjska</c:v>
                  </c:pt>
                  <c:pt idx="38">
                    <c:v>Slovenija</c:v>
                  </c:pt>
                  <c:pt idx="39">
                    <c:v>ZmigajSdV</c:v>
                  </c:pt>
                  <c:pt idx="40">
                    <c:v>Gorenjska</c:v>
                  </c:pt>
                  <c:pt idx="41">
                    <c:v>Slovenija</c:v>
                  </c:pt>
                  <c:pt idx="42">
                    <c:v>ZmigajSdV</c:v>
                  </c:pt>
                  <c:pt idx="43">
                    <c:v>Gorenjska</c:v>
                  </c:pt>
                  <c:pt idx="44">
                    <c:v>Slovenija</c:v>
                  </c:pt>
                </c:lvl>
              </c:multiLvlStrCache>
            </c:multiLvlStrRef>
          </c:cat>
          <c:val>
            <c:numRef>
              <c:f>grafCone!$C$2:$C$46</c:f>
              <c:numCache>
                <c:formatCode>0</c:formatCode>
                <c:ptCount val="45"/>
                <c:pt idx="0" formatCode="General">
                  <c:v>6</c:v>
                </c:pt>
                <c:pt idx="1">
                  <c:v>360.99284893843878</c:v>
                </c:pt>
                <c:pt idx="2">
                  <c:v>553.47041944433749</c:v>
                </c:pt>
                <c:pt idx="3" formatCode="General">
                  <c:v>13</c:v>
                </c:pt>
                <c:pt idx="4">
                  <c:v>266.26186212296608</c:v>
                </c:pt>
                <c:pt idx="5">
                  <c:v>18.119202974040682</c:v>
                </c:pt>
                <c:pt idx="6" formatCode="General">
                  <c:v>7</c:v>
                </c:pt>
                <c:pt idx="7">
                  <c:v>8.8987609935253786</c:v>
                </c:pt>
                <c:pt idx="8">
                  <c:v>4331.1082003265701</c:v>
                </c:pt>
                <c:pt idx="9" formatCode="General">
                  <c:v>8</c:v>
                </c:pt>
                <c:pt idx="10">
                  <c:v>468.79469811179467</c:v>
                </c:pt>
                <c:pt idx="11">
                  <c:v>1865.6305843206321</c:v>
                </c:pt>
                <c:pt idx="12" formatCode="General">
                  <c:v>6</c:v>
                </c:pt>
                <c:pt idx="13">
                  <c:v>213.72875894577763</c:v>
                </c:pt>
                <c:pt idx="14">
                  <c:v>679.19034604508374</c:v>
                </c:pt>
                <c:pt idx="15" formatCode="General">
                  <c:v>4</c:v>
                </c:pt>
                <c:pt idx="16" formatCode="General">
                  <c:v>2</c:v>
                </c:pt>
                <c:pt idx="17">
                  <c:v>252.88249593296268</c:v>
                </c:pt>
                <c:pt idx="18">
                  <c:v>332.840827341742</c:v>
                </c:pt>
                <c:pt idx="19">
                  <c:v>4497.5207091233333</c:v>
                </c:pt>
                <c:pt idx="20">
                  <c:v>3694.6118269206718</c:v>
                </c:pt>
                <c:pt idx="21" formatCode="General">
                  <c:v>14</c:v>
                </c:pt>
                <c:pt idx="22" formatCode="General">
                  <c:v>1</c:v>
                </c:pt>
                <c:pt idx="23" formatCode="General">
                  <c:v>2</c:v>
                </c:pt>
                <c:pt idx="24">
                  <c:v>218.20410740227862</c:v>
                </c:pt>
                <c:pt idx="25">
                  <c:v>155.2044161418037</c:v>
                </c:pt>
                <c:pt idx="26">
                  <c:v>319.2259435081782</c:v>
                </c:pt>
                <c:pt idx="27">
                  <c:v>111.18640681692827</c:v>
                </c:pt>
                <c:pt idx="28">
                  <c:v>3407.4846500535673</c:v>
                </c:pt>
                <c:pt idx="29">
                  <c:v>3265.7911081759216</c:v>
                </c:pt>
                <c:pt idx="30" formatCode="General">
                  <c:v>0</c:v>
                </c:pt>
                <c:pt idx="31" formatCode="General">
                  <c:v>1</c:v>
                </c:pt>
                <c:pt idx="32">
                  <c:v>186.22443293605488</c:v>
                </c:pt>
                <c:pt idx="33">
                  <c:v>999.82753333832898</c:v>
                </c:pt>
                <c:pt idx="34">
                  <c:v>1770.1662406281409</c:v>
                </c:pt>
                <c:pt idx="35">
                  <c:v>2874.2122474983635</c:v>
                </c:pt>
                <c:pt idx="36" formatCode="General">
                  <c:v>5</c:v>
                </c:pt>
                <c:pt idx="37">
                  <c:v>431.00591553583547</c:v>
                </c:pt>
                <c:pt idx="38">
                  <c:v>1851.7369881070522</c:v>
                </c:pt>
                <c:pt idx="39" formatCode="General">
                  <c:v>11</c:v>
                </c:pt>
                <c:pt idx="40">
                  <c:v>407.95092979265462</c:v>
                </c:pt>
                <c:pt idx="41">
                  <c:v>3645.0703624316925</c:v>
                </c:pt>
                <c:pt idx="42" formatCode="General">
                  <c:v>3</c:v>
                </c:pt>
                <c:pt idx="43">
                  <c:v>310.95323455489381</c:v>
                </c:pt>
                <c:pt idx="44">
                  <c:v>4496.994942746177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2-45B7-A5AE-B752D2A52FD2}"/>
            </c:ext>
          </c:extLst>
        </c:ser>
        <c:ser>
          <c:idx val="1"/>
          <c:order val="1"/>
          <c:tx>
            <c:strRef>
              <c:f>grafCone!$D$1</c:f>
              <c:strCache>
                <c:ptCount val="1"/>
                <c:pt idx="0">
                  <c:v>Mejno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grafCone!$A$2:$B$46</c:f>
              <c:multiLvlStrCache>
                <c:ptCount val="45"/>
                <c:lvl>
                  <c:pt idx="0">
                    <c:v>6-minutni test hoje</c:v>
                  </c:pt>
                  <c:pt idx="1">
                    <c:v>6-minutni test hoje</c:v>
                  </c:pt>
                  <c:pt idx="2">
                    <c:v>6-minutni test hoje</c:v>
                  </c:pt>
                  <c:pt idx="3">
                    <c:v>Dotikanje plošč z roko</c:v>
                  </c:pt>
                  <c:pt idx="4">
                    <c:v>Dotikanje plošč z roko</c:v>
                  </c:pt>
                  <c:pt idx="5">
                    <c:v>Dotikanje plošč z roko</c:v>
                  </c:pt>
                  <c:pt idx="6">
                    <c:v>Indeks telesne mase</c:v>
                  </c:pt>
                  <c:pt idx="7">
                    <c:v>Indeks telesne mase</c:v>
                  </c:pt>
                  <c:pt idx="8">
                    <c:v>Indeks telesne mase</c:v>
                  </c:pt>
                  <c:pt idx="9">
                    <c:v>Navpični skok</c:v>
                  </c:pt>
                  <c:pt idx="10">
                    <c:v>Navpični skok</c:v>
                  </c:pt>
                  <c:pt idx="11">
                    <c:v>Navpični skok</c:v>
                  </c:pt>
                  <c:pt idx="12">
                    <c:v>Obseg pasu</c:v>
                  </c:pt>
                  <c:pt idx="13">
                    <c:v>Obseg pasu</c:v>
                  </c:pt>
                  <c:pt idx="14">
                    <c:v>Obseg pasu</c:v>
                  </c:pt>
                  <c:pt idx="15">
                    <c:v>Predklon sede</c:v>
                  </c:pt>
                  <c:pt idx="16">
                    <c:v>Predklon sede</c:v>
                  </c:pt>
                  <c:pt idx="17">
                    <c:v>Predklon sede</c:v>
                  </c:pt>
                  <c:pt idx="18">
                    <c:v>Predklon sede</c:v>
                  </c:pt>
                  <c:pt idx="19">
                    <c:v>Predklon sede</c:v>
                  </c:pt>
                  <c:pt idx="20">
                    <c:v>Predklon sede</c:v>
                  </c:pt>
                  <c:pt idx="21">
                    <c:v>Stisk pesti</c:v>
                  </c:pt>
                  <c:pt idx="22">
                    <c:v>Stisk pesti</c:v>
                  </c:pt>
                  <c:pt idx="23">
                    <c:v>Stisk pesti</c:v>
                  </c:pt>
                  <c:pt idx="24">
                    <c:v>Stisk pesti</c:v>
                  </c:pt>
                  <c:pt idx="25">
                    <c:v>Stisk pesti</c:v>
                  </c:pt>
                  <c:pt idx="26">
                    <c:v>Stisk pesti</c:v>
                  </c:pt>
                  <c:pt idx="27">
                    <c:v>Stisk pesti</c:v>
                  </c:pt>
                  <c:pt idx="28">
                    <c:v>Stisk pesti</c:v>
                  </c:pt>
                  <c:pt idx="29">
                    <c:v>Stisk pesti</c:v>
                  </c:pt>
                  <c:pt idx="30">
                    <c:v>Tek na 600 m</c:v>
                  </c:pt>
                  <c:pt idx="31">
                    <c:v>Tek na 600 m</c:v>
                  </c:pt>
                  <c:pt idx="32">
                    <c:v>Tek na 600 m</c:v>
                  </c:pt>
                  <c:pt idx="33">
                    <c:v>Tek na 600 m</c:v>
                  </c:pt>
                  <c:pt idx="34">
                    <c:v>Tek na 600 m</c:v>
                  </c:pt>
                  <c:pt idx="35">
                    <c:v>Tek na 600 m</c:v>
                  </c:pt>
                  <c:pt idx="36">
                    <c:v>Tek v osmici</c:v>
                  </c:pt>
                  <c:pt idx="37">
                    <c:v>Tek v osmici</c:v>
                  </c:pt>
                  <c:pt idx="38">
                    <c:v>Tek v osmici</c:v>
                  </c:pt>
                  <c:pt idx="39">
                    <c:v>Upogibanje trupa</c:v>
                  </c:pt>
                  <c:pt idx="40">
                    <c:v>Upogibanje trupa</c:v>
                  </c:pt>
                  <c:pt idx="41">
                    <c:v>Upogibanje trupa</c:v>
                  </c:pt>
                  <c:pt idx="42">
                    <c:v>Vesa v zgibi</c:v>
                  </c:pt>
                  <c:pt idx="43">
                    <c:v>Vesa v zgibi</c:v>
                  </c:pt>
                  <c:pt idx="44">
                    <c:v>Vesa v zgibi</c:v>
                  </c:pt>
                </c:lvl>
                <c:lvl>
                  <c:pt idx="0">
                    <c:v>ZmigajSdV</c:v>
                  </c:pt>
                  <c:pt idx="1">
                    <c:v>Gorenjska</c:v>
                  </c:pt>
                  <c:pt idx="2">
                    <c:v>Slovenija</c:v>
                  </c:pt>
                  <c:pt idx="3">
                    <c:v>ZmigajSdV</c:v>
                  </c:pt>
                  <c:pt idx="4">
                    <c:v>Gorenjska</c:v>
                  </c:pt>
                  <c:pt idx="5">
                    <c:v>Slovenija</c:v>
                  </c:pt>
                  <c:pt idx="6">
                    <c:v>ZmigajSdV</c:v>
                  </c:pt>
                  <c:pt idx="7">
                    <c:v>Gorenjska</c:v>
                  </c:pt>
                  <c:pt idx="8">
                    <c:v>Slovenija</c:v>
                  </c:pt>
                  <c:pt idx="9">
                    <c:v>ZmigajSdV</c:v>
                  </c:pt>
                  <c:pt idx="10">
                    <c:v>Gorenjska</c:v>
                  </c:pt>
                  <c:pt idx="11">
                    <c:v>Slovenija</c:v>
                  </c:pt>
                  <c:pt idx="12">
                    <c:v>ZmigajSdV</c:v>
                  </c:pt>
                  <c:pt idx="13">
                    <c:v>Gorenjska</c:v>
                  </c:pt>
                  <c:pt idx="14">
                    <c:v>Slovenija</c:v>
                  </c:pt>
                  <c:pt idx="15">
                    <c:v>ZmigajSdV</c:v>
                  </c:pt>
                  <c:pt idx="16">
                    <c:v>ZmigajSdV</c:v>
                  </c:pt>
                  <c:pt idx="17">
                    <c:v>Gorenjska</c:v>
                  </c:pt>
                  <c:pt idx="18">
                    <c:v>Gorenjska</c:v>
                  </c:pt>
                  <c:pt idx="19">
                    <c:v>Slovenija</c:v>
                  </c:pt>
                  <c:pt idx="20">
                    <c:v>Slovenija</c:v>
                  </c:pt>
                  <c:pt idx="21">
                    <c:v>ZmigajSdV</c:v>
                  </c:pt>
                  <c:pt idx="22">
                    <c:v>ZmigajSdV</c:v>
                  </c:pt>
                  <c:pt idx="23">
                    <c:v>ZmigajSdV</c:v>
                  </c:pt>
                  <c:pt idx="24">
                    <c:v>Gorenjska</c:v>
                  </c:pt>
                  <c:pt idx="25">
                    <c:v>Gorenjska</c:v>
                  </c:pt>
                  <c:pt idx="26">
                    <c:v>Gorenjska</c:v>
                  </c:pt>
                  <c:pt idx="27">
                    <c:v>Slovenija</c:v>
                  </c:pt>
                  <c:pt idx="28">
                    <c:v>Slovenija</c:v>
                  </c:pt>
                  <c:pt idx="29">
                    <c:v>Slovenija</c:v>
                  </c:pt>
                  <c:pt idx="30">
                    <c:v>ZmigajSdV</c:v>
                  </c:pt>
                  <c:pt idx="31">
                    <c:v>ZmigajSdV</c:v>
                  </c:pt>
                  <c:pt idx="32">
                    <c:v>Gorenjska</c:v>
                  </c:pt>
                  <c:pt idx="33">
                    <c:v>Gorenjska</c:v>
                  </c:pt>
                  <c:pt idx="34">
                    <c:v>Slovenija</c:v>
                  </c:pt>
                  <c:pt idx="35">
                    <c:v>Slovenija</c:v>
                  </c:pt>
                  <c:pt idx="36">
                    <c:v>ZmigajSdV</c:v>
                  </c:pt>
                  <c:pt idx="37">
                    <c:v>Gorenjska</c:v>
                  </c:pt>
                  <c:pt idx="38">
                    <c:v>Slovenija</c:v>
                  </c:pt>
                  <c:pt idx="39">
                    <c:v>ZmigajSdV</c:v>
                  </c:pt>
                  <c:pt idx="40">
                    <c:v>Gorenjska</c:v>
                  </c:pt>
                  <c:pt idx="41">
                    <c:v>Slovenija</c:v>
                  </c:pt>
                  <c:pt idx="42">
                    <c:v>ZmigajSdV</c:v>
                  </c:pt>
                  <c:pt idx="43">
                    <c:v>Gorenjska</c:v>
                  </c:pt>
                  <c:pt idx="44">
                    <c:v>Slovenija</c:v>
                  </c:pt>
                </c:lvl>
              </c:multiLvlStrCache>
            </c:multiLvlStrRef>
          </c:cat>
          <c:val>
            <c:numRef>
              <c:f>grafCone!$D$2:$D$46</c:f>
              <c:numCache>
                <c:formatCode>0</c:formatCode>
                <c:ptCount val="45"/>
                <c:pt idx="0">
                  <c:v>3</c:v>
                </c:pt>
                <c:pt idx="1">
                  <c:v>373.6607125337469</c:v>
                </c:pt>
                <c:pt idx="2">
                  <c:v>378.14540034454956</c:v>
                </c:pt>
                <c:pt idx="3">
                  <c:v>3</c:v>
                </c:pt>
                <c:pt idx="4">
                  <c:v>2118.4215830577941</c:v>
                </c:pt>
                <c:pt idx="5">
                  <c:v>1788.5659288742561</c:v>
                </c:pt>
                <c:pt idx="6">
                  <c:v>5</c:v>
                </c:pt>
                <c:pt idx="7">
                  <c:v>1606.8414002932129</c:v>
                </c:pt>
                <c:pt idx="8">
                  <c:v>3411.5028475253794</c:v>
                </c:pt>
                <c:pt idx="9">
                  <c:v>5</c:v>
                </c:pt>
                <c:pt idx="10">
                  <c:v>2688.6747035937242</c:v>
                </c:pt>
                <c:pt idx="11">
                  <c:v>5141.7016950314846</c:v>
                </c:pt>
                <c:pt idx="12">
                  <c:v>5</c:v>
                </c:pt>
                <c:pt idx="13">
                  <c:v>887.35640081744191</c:v>
                </c:pt>
                <c:pt idx="14">
                  <c:v>4266.6373484883979</c:v>
                </c:pt>
                <c:pt idx="15">
                  <c:v>12</c:v>
                </c:pt>
                <c:pt idx="16">
                  <c:v>1</c:v>
                </c:pt>
                <c:pt idx="17">
                  <c:v>472.44411929600051</c:v>
                </c:pt>
                <c:pt idx="18">
                  <c:v>862.90670619178843</c:v>
                </c:pt>
                <c:pt idx="19">
                  <c:v>4338.2158836802719</c:v>
                </c:pt>
                <c:pt idx="20">
                  <c:v>9619.4265227509059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1653.3331763371232</c:v>
                </c:pt>
                <c:pt idx="25">
                  <c:v>1917.2214608514432</c:v>
                </c:pt>
                <c:pt idx="26">
                  <c:v>943.59233802082986</c:v>
                </c:pt>
                <c:pt idx="27">
                  <c:v>5195.3033607895168</c:v>
                </c:pt>
                <c:pt idx="28">
                  <c:v>5029.6783944527515</c:v>
                </c:pt>
                <c:pt idx="29">
                  <c:v>4377.5832187712886</c:v>
                </c:pt>
                <c:pt idx="30">
                  <c:v>5</c:v>
                </c:pt>
                <c:pt idx="31">
                  <c:v>1</c:v>
                </c:pt>
                <c:pt idx="32">
                  <c:v>1434.6603377590075</c:v>
                </c:pt>
                <c:pt idx="33">
                  <c:v>809.7436666503686</c:v>
                </c:pt>
                <c:pt idx="34">
                  <c:v>6981.3069451889323</c:v>
                </c:pt>
                <c:pt idx="35">
                  <c:v>8544.3075333502948</c:v>
                </c:pt>
                <c:pt idx="36">
                  <c:v>11</c:v>
                </c:pt>
                <c:pt idx="37">
                  <c:v>1715.4350851864017</c:v>
                </c:pt>
                <c:pt idx="38">
                  <c:v>9295.1251178842995</c:v>
                </c:pt>
                <c:pt idx="39">
                  <c:v>3</c:v>
                </c:pt>
                <c:pt idx="40">
                  <c:v>2685.0319349238839</c:v>
                </c:pt>
                <c:pt idx="41">
                  <c:v>9896.1879266720061</c:v>
                </c:pt>
                <c:pt idx="42">
                  <c:v>3</c:v>
                </c:pt>
                <c:pt idx="43">
                  <c:v>1629.6615867591506</c:v>
                </c:pt>
                <c:pt idx="44">
                  <c:v>9563.630276738324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2-45B7-A5AE-B752D2A52FD2}"/>
            </c:ext>
          </c:extLst>
        </c:ser>
        <c:ser>
          <c:idx val="2"/>
          <c:order val="2"/>
          <c:tx>
            <c:strRef>
              <c:f>grafCone!$E$1</c:f>
              <c:strCache>
                <c:ptCount val="1"/>
                <c:pt idx="0">
                  <c:v>Tvegano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grafCone!$A$2:$B$46</c:f>
              <c:multiLvlStrCache>
                <c:ptCount val="45"/>
                <c:lvl>
                  <c:pt idx="0">
                    <c:v>6-minutni test hoje</c:v>
                  </c:pt>
                  <c:pt idx="1">
                    <c:v>6-minutni test hoje</c:v>
                  </c:pt>
                  <c:pt idx="2">
                    <c:v>6-minutni test hoje</c:v>
                  </c:pt>
                  <c:pt idx="3">
                    <c:v>Dotikanje plošč z roko</c:v>
                  </c:pt>
                  <c:pt idx="4">
                    <c:v>Dotikanje plošč z roko</c:v>
                  </c:pt>
                  <c:pt idx="5">
                    <c:v>Dotikanje plošč z roko</c:v>
                  </c:pt>
                  <c:pt idx="6">
                    <c:v>Indeks telesne mase</c:v>
                  </c:pt>
                  <c:pt idx="7">
                    <c:v>Indeks telesne mase</c:v>
                  </c:pt>
                  <c:pt idx="8">
                    <c:v>Indeks telesne mase</c:v>
                  </c:pt>
                  <c:pt idx="9">
                    <c:v>Navpični skok</c:v>
                  </c:pt>
                  <c:pt idx="10">
                    <c:v>Navpični skok</c:v>
                  </c:pt>
                  <c:pt idx="11">
                    <c:v>Navpični skok</c:v>
                  </c:pt>
                  <c:pt idx="12">
                    <c:v>Obseg pasu</c:v>
                  </c:pt>
                  <c:pt idx="13">
                    <c:v>Obseg pasu</c:v>
                  </c:pt>
                  <c:pt idx="14">
                    <c:v>Obseg pasu</c:v>
                  </c:pt>
                  <c:pt idx="15">
                    <c:v>Predklon sede</c:v>
                  </c:pt>
                  <c:pt idx="16">
                    <c:v>Predklon sede</c:v>
                  </c:pt>
                  <c:pt idx="17">
                    <c:v>Predklon sede</c:v>
                  </c:pt>
                  <c:pt idx="18">
                    <c:v>Predklon sede</c:v>
                  </c:pt>
                  <c:pt idx="19">
                    <c:v>Predklon sede</c:v>
                  </c:pt>
                  <c:pt idx="20">
                    <c:v>Predklon sede</c:v>
                  </c:pt>
                  <c:pt idx="21">
                    <c:v>Stisk pesti</c:v>
                  </c:pt>
                  <c:pt idx="22">
                    <c:v>Stisk pesti</c:v>
                  </c:pt>
                  <c:pt idx="23">
                    <c:v>Stisk pesti</c:v>
                  </c:pt>
                  <c:pt idx="24">
                    <c:v>Stisk pesti</c:v>
                  </c:pt>
                  <c:pt idx="25">
                    <c:v>Stisk pesti</c:v>
                  </c:pt>
                  <c:pt idx="26">
                    <c:v>Stisk pesti</c:v>
                  </c:pt>
                  <c:pt idx="27">
                    <c:v>Stisk pesti</c:v>
                  </c:pt>
                  <c:pt idx="28">
                    <c:v>Stisk pesti</c:v>
                  </c:pt>
                  <c:pt idx="29">
                    <c:v>Stisk pesti</c:v>
                  </c:pt>
                  <c:pt idx="30">
                    <c:v>Tek na 600 m</c:v>
                  </c:pt>
                  <c:pt idx="31">
                    <c:v>Tek na 600 m</c:v>
                  </c:pt>
                  <c:pt idx="32">
                    <c:v>Tek na 600 m</c:v>
                  </c:pt>
                  <c:pt idx="33">
                    <c:v>Tek na 600 m</c:v>
                  </c:pt>
                  <c:pt idx="34">
                    <c:v>Tek na 600 m</c:v>
                  </c:pt>
                  <c:pt idx="35">
                    <c:v>Tek na 600 m</c:v>
                  </c:pt>
                  <c:pt idx="36">
                    <c:v>Tek v osmici</c:v>
                  </c:pt>
                  <c:pt idx="37">
                    <c:v>Tek v osmici</c:v>
                  </c:pt>
                  <c:pt idx="38">
                    <c:v>Tek v osmici</c:v>
                  </c:pt>
                  <c:pt idx="39">
                    <c:v>Upogibanje trupa</c:v>
                  </c:pt>
                  <c:pt idx="40">
                    <c:v>Upogibanje trupa</c:v>
                  </c:pt>
                  <c:pt idx="41">
                    <c:v>Upogibanje trupa</c:v>
                  </c:pt>
                  <c:pt idx="42">
                    <c:v>Vesa v zgibi</c:v>
                  </c:pt>
                  <c:pt idx="43">
                    <c:v>Vesa v zgibi</c:v>
                  </c:pt>
                  <c:pt idx="44">
                    <c:v>Vesa v zgibi</c:v>
                  </c:pt>
                </c:lvl>
                <c:lvl>
                  <c:pt idx="0">
                    <c:v>ZmigajSdV</c:v>
                  </c:pt>
                  <c:pt idx="1">
                    <c:v>Gorenjska</c:v>
                  </c:pt>
                  <c:pt idx="2">
                    <c:v>Slovenija</c:v>
                  </c:pt>
                  <c:pt idx="3">
                    <c:v>ZmigajSdV</c:v>
                  </c:pt>
                  <c:pt idx="4">
                    <c:v>Gorenjska</c:v>
                  </c:pt>
                  <c:pt idx="5">
                    <c:v>Slovenija</c:v>
                  </c:pt>
                  <c:pt idx="6">
                    <c:v>ZmigajSdV</c:v>
                  </c:pt>
                  <c:pt idx="7">
                    <c:v>Gorenjska</c:v>
                  </c:pt>
                  <c:pt idx="8">
                    <c:v>Slovenija</c:v>
                  </c:pt>
                  <c:pt idx="9">
                    <c:v>ZmigajSdV</c:v>
                  </c:pt>
                  <c:pt idx="10">
                    <c:v>Gorenjska</c:v>
                  </c:pt>
                  <c:pt idx="11">
                    <c:v>Slovenija</c:v>
                  </c:pt>
                  <c:pt idx="12">
                    <c:v>ZmigajSdV</c:v>
                  </c:pt>
                  <c:pt idx="13">
                    <c:v>Gorenjska</c:v>
                  </c:pt>
                  <c:pt idx="14">
                    <c:v>Slovenija</c:v>
                  </c:pt>
                  <c:pt idx="15">
                    <c:v>ZmigajSdV</c:v>
                  </c:pt>
                  <c:pt idx="16">
                    <c:v>ZmigajSdV</c:v>
                  </c:pt>
                  <c:pt idx="17">
                    <c:v>Gorenjska</c:v>
                  </c:pt>
                  <c:pt idx="18">
                    <c:v>Gorenjska</c:v>
                  </c:pt>
                  <c:pt idx="19">
                    <c:v>Slovenija</c:v>
                  </c:pt>
                  <c:pt idx="20">
                    <c:v>Slovenija</c:v>
                  </c:pt>
                  <c:pt idx="21">
                    <c:v>ZmigajSdV</c:v>
                  </c:pt>
                  <c:pt idx="22">
                    <c:v>ZmigajSdV</c:v>
                  </c:pt>
                  <c:pt idx="23">
                    <c:v>ZmigajSdV</c:v>
                  </c:pt>
                  <c:pt idx="24">
                    <c:v>Gorenjska</c:v>
                  </c:pt>
                  <c:pt idx="25">
                    <c:v>Gorenjska</c:v>
                  </c:pt>
                  <c:pt idx="26">
                    <c:v>Gorenjska</c:v>
                  </c:pt>
                  <c:pt idx="27">
                    <c:v>Slovenija</c:v>
                  </c:pt>
                  <c:pt idx="28">
                    <c:v>Slovenija</c:v>
                  </c:pt>
                  <c:pt idx="29">
                    <c:v>Slovenija</c:v>
                  </c:pt>
                  <c:pt idx="30">
                    <c:v>ZmigajSdV</c:v>
                  </c:pt>
                  <c:pt idx="31">
                    <c:v>ZmigajSdV</c:v>
                  </c:pt>
                  <c:pt idx="32">
                    <c:v>Gorenjska</c:v>
                  </c:pt>
                  <c:pt idx="33">
                    <c:v>Gorenjska</c:v>
                  </c:pt>
                  <c:pt idx="34">
                    <c:v>Slovenija</c:v>
                  </c:pt>
                  <c:pt idx="35">
                    <c:v>Slovenija</c:v>
                  </c:pt>
                  <c:pt idx="36">
                    <c:v>ZmigajSdV</c:v>
                  </c:pt>
                  <c:pt idx="37">
                    <c:v>Gorenjska</c:v>
                  </c:pt>
                  <c:pt idx="38">
                    <c:v>Slovenija</c:v>
                  </c:pt>
                  <c:pt idx="39">
                    <c:v>ZmigajSdV</c:v>
                  </c:pt>
                  <c:pt idx="40">
                    <c:v>Gorenjska</c:v>
                  </c:pt>
                  <c:pt idx="41">
                    <c:v>Slovenija</c:v>
                  </c:pt>
                  <c:pt idx="42">
                    <c:v>ZmigajSdV</c:v>
                  </c:pt>
                  <c:pt idx="43">
                    <c:v>Gorenjska</c:v>
                  </c:pt>
                  <c:pt idx="44">
                    <c:v>Slovenija</c:v>
                  </c:pt>
                </c:lvl>
              </c:multiLvlStrCache>
            </c:multiLvlStrRef>
          </c:cat>
          <c:val>
            <c:numRef>
              <c:f>grafCone!$E$2:$E$46</c:f>
              <c:numCache>
                <c:formatCode>0</c:formatCode>
                <c:ptCount val="45"/>
                <c:pt idx="0">
                  <c:v>3</c:v>
                </c:pt>
                <c:pt idx="1">
                  <c:v>153.48407170759256</c:v>
                </c:pt>
                <c:pt idx="2">
                  <c:v>685.21985935851171</c:v>
                </c:pt>
                <c:pt idx="3">
                  <c:v>2</c:v>
                </c:pt>
                <c:pt idx="4">
                  <c:v>55.866750385253368</c:v>
                </c:pt>
                <c:pt idx="5">
                  <c:v>1447.9481983803785</c:v>
                </c:pt>
                <c:pt idx="6">
                  <c:v>6</c:v>
                </c:pt>
                <c:pt idx="7">
                  <c:v>24.079094531811272</c:v>
                </c:pt>
                <c:pt idx="8">
                  <c:v>1303.4925662503047</c:v>
                </c:pt>
                <c:pt idx="9">
                  <c:v>5</c:v>
                </c:pt>
                <c:pt idx="10">
                  <c:v>2.6662506510911399</c:v>
                </c:pt>
                <c:pt idx="11">
                  <c:v>505.94903331722276</c:v>
                </c:pt>
                <c:pt idx="12">
                  <c:v>7</c:v>
                </c:pt>
                <c:pt idx="13">
                  <c:v>51.242815917880847</c:v>
                </c:pt>
                <c:pt idx="14">
                  <c:v>615.31047136750726</c:v>
                </c:pt>
                <c:pt idx="15">
                  <c:v>2</c:v>
                </c:pt>
                <c:pt idx="16">
                  <c:v>4</c:v>
                </c:pt>
                <c:pt idx="17">
                  <c:v>8.0078013749033339</c:v>
                </c:pt>
                <c:pt idx="18">
                  <c:v>43.868242969384788</c:v>
                </c:pt>
                <c:pt idx="19">
                  <c:v>854.18444945360636</c:v>
                </c:pt>
                <c:pt idx="20">
                  <c:v>699.6969315705752</c:v>
                </c:pt>
                <c:pt idx="21">
                  <c:v>2</c:v>
                </c:pt>
                <c:pt idx="22">
                  <c:v>3</c:v>
                </c:pt>
                <c:pt idx="23">
                  <c:v>6</c:v>
                </c:pt>
                <c:pt idx="24">
                  <c:v>15.456227935888389</c:v>
                </c:pt>
                <c:pt idx="25">
                  <c:v>59.753214500266452</c:v>
                </c:pt>
                <c:pt idx="26">
                  <c:v>80.92027268185862</c:v>
                </c:pt>
                <c:pt idx="27">
                  <c:v>1373.9102879569239</c:v>
                </c:pt>
                <c:pt idx="28">
                  <c:v>448.61541431579741</c:v>
                </c:pt>
                <c:pt idx="29">
                  <c:v>296.35830419523666</c:v>
                </c:pt>
                <c:pt idx="30">
                  <c:v>1</c:v>
                </c:pt>
                <c:pt idx="31">
                  <c:v>1</c:v>
                </c:pt>
                <c:pt idx="32">
                  <c:v>148.74920954639668</c:v>
                </c:pt>
                <c:pt idx="33">
                  <c:v>805.43558866873389</c:v>
                </c:pt>
                <c:pt idx="34">
                  <c:v>275.00801424157231</c:v>
                </c:pt>
                <c:pt idx="35">
                  <c:v>1640.41087514578</c:v>
                </c:pt>
                <c:pt idx="36">
                  <c:v>2</c:v>
                </c:pt>
                <c:pt idx="37">
                  <c:v>132.68141968119218</c:v>
                </c:pt>
                <c:pt idx="38">
                  <c:v>336.3723122968978</c:v>
                </c:pt>
                <c:pt idx="39">
                  <c:v>2</c:v>
                </c:pt>
                <c:pt idx="40">
                  <c:v>52.240858292112314</c:v>
                </c:pt>
                <c:pt idx="41">
                  <c:v>1031.4957309392048</c:v>
                </c:pt>
                <c:pt idx="42">
                  <c:v>7</c:v>
                </c:pt>
                <c:pt idx="43">
                  <c:v>71.171660924329515</c:v>
                </c:pt>
                <c:pt idx="44">
                  <c:v>52.452615283959503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2-45B7-A5AE-B752D2A5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576336"/>
        <c:axId val="1463576816"/>
      </c:barChart>
      <c:catAx>
        <c:axId val="14635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463576816"/>
        <c:crosses val="autoZero"/>
        <c:auto val="1"/>
        <c:lblAlgn val="ctr"/>
        <c:lblOffset val="100"/>
        <c:noMultiLvlLbl val="0"/>
      </c:catAx>
      <c:valAx>
        <c:axId val="14635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46357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16</xdr:row>
      <xdr:rowOff>175260</xdr:rowOff>
    </xdr:from>
    <xdr:to>
      <xdr:col>15</xdr:col>
      <xdr:colOff>297180</xdr:colOff>
      <xdr:row>37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BEB2B-BE5F-3FF7-9F5F-739CD1207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590550</xdr:colOff>
      <xdr:row>23</xdr:row>
      <xdr:rowOff>123825</xdr:rowOff>
    </xdr:from>
    <xdr:to>
      <xdr:col>22</xdr:col>
      <xdr:colOff>307112</xdr:colOff>
      <xdr:row>35</xdr:row>
      <xdr:rowOff>64955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8A01D-2B59-CF41-D512-E13FF48B8F72}"/>
            </a:ext>
            <a:ext uri="{147F2762-F138-4A5C-976F-8EAC2B608ADB}">
              <a16:predDERef xmlns:a16="http://schemas.microsoft.com/office/drawing/2014/main" pred="{059BEB2B-BE5F-3FF7-9F5F-739CD120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1550" y="4286250"/>
          <a:ext cx="4602887" cy="2112830"/>
        </a:xfrm>
        <a:prstGeom prst="rect">
          <a:avLst/>
        </a:prstGeom>
      </xdr:spPr>
    </xdr:pic>
    <xdr:clientData/>
  </xdr:twoCellAnchor>
  <xdr:twoCellAnchor>
    <xdr:from>
      <xdr:col>19</xdr:col>
      <xdr:colOff>365760</xdr:colOff>
      <xdr:row>2</xdr:row>
      <xdr:rowOff>34290</xdr:rowOff>
    </xdr:from>
    <xdr:to>
      <xdr:col>29</xdr:col>
      <xdr:colOff>106680</xdr:colOff>
      <xdr:row>22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6F5D65-5EAB-6C39-2961-9D9C9CDA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289560</xdr:colOff>
      <xdr:row>0</xdr:row>
      <xdr:rowOff>0</xdr:rowOff>
    </xdr:from>
    <xdr:to>
      <xdr:col>14</xdr:col>
      <xdr:colOff>152811</xdr:colOff>
      <xdr:row>13</xdr:row>
      <xdr:rowOff>114516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8FD44-CABC-EFF7-BADC-A8FB1C3E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0"/>
          <a:ext cx="4740051" cy="2491956"/>
        </a:xfrm>
        <a:prstGeom prst="rect">
          <a:avLst/>
        </a:prstGeom>
      </xdr:spPr>
    </xdr:pic>
    <xdr:clientData/>
  </xdr:twoCellAnchor>
  <xdr:twoCellAnchor>
    <xdr:from>
      <xdr:col>6</xdr:col>
      <xdr:colOff>99060</xdr:colOff>
      <xdr:row>10</xdr:row>
      <xdr:rowOff>91446</xdr:rowOff>
    </xdr:from>
    <xdr:to>
      <xdr:col>17</xdr:col>
      <xdr:colOff>579120</xdr:colOff>
      <xdr:row>31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6783D-C3A0-8BAB-DE5E-F22A624E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skošek, Bojan" id="{AF05C2B8-0698-4726-904A-F9C9889CE7D9}" userId="S::Bojan.Leskosek@fsp.uni-lj.si::01467edb-a248-43f6-847c-bdc254055f4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09.432960532409" createdVersion="8" refreshedVersion="8" minRefreshableVersion="3" recordCount="162" xr:uid="{A2807945-8E5C-427F-85BB-37205053226F}">
  <cacheSource type="worksheet">
    <worksheetSource ref="A1:E163" sheet="TabeleStolpci"/>
  </cacheSource>
  <cacheFields count="5">
    <cacheField name="TableName" numFmtId="0">
      <sharedItems count="12">
        <s v="BaterijaTestov"/>
        <s v="Clan"/>
        <s v="Cona"/>
        <s v="ConaStarost"/>
        <s v="DostopUporabnikaDoClana"/>
        <s v="IzvajalecMeritev"/>
        <s v="Meritev"/>
        <s v="Merjenec"/>
        <s v="Rezultat"/>
        <s v="Test"/>
        <s v="Uporabnik"/>
        <s v="UporabnikPriIzvajalcu"/>
      </sharedItems>
    </cacheField>
    <cacheField name="ColumnName" numFmtId="0">
      <sharedItems/>
    </cacheField>
    <cacheField name="DataType" numFmtId="0">
      <sharedItems/>
    </cacheField>
    <cacheField name="MaxLength" numFmtId="0">
      <sharedItems containsSemiMixedTypes="0" containsString="0" containsNumber="1" containsInteger="1" minValue="-1" maxValue="510"/>
    </cacheField>
    <cacheField name="ColumnOrder" numFmtId="0">
      <sharedItems containsSemiMixedTypes="0" containsString="0" containsNumber="1" containsInteger="1" minValue="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09.743935879633" createdVersion="8" refreshedVersion="8" minRefreshableVersion="3" recordCount="52" xr:uid="{46EE4C30-5A6E-47DB-8350-EF2CCF1F4CCA}">
  <cacheSource type="worksheet">
    <worksheetSource ref="A1:F53" sheet="grafCentili"/>
  </cacheSource>
  <cacheFields count="6">
    <cacheField name="Zmigaj" numFmtId="0">
      <sharedItems containsSemiMixedTypes="0" containsString="0" containsNumber="1" containsInteger="1" minValue="0" maxValue="1" count="2">
        <n v="0"/>
        <n v="1"/>
      </sharedItems>
    </cacheField>
    <cacheField name="TestIme" numFmtId="0">
      <sharedItems count="13">
        <s v="6-minutni test hoje"/>
        <s v="Dotikanje plošč z roko"/>
        <s v="Indeks telesne mase"/>
        <s v="Navpični skok"/>
        <s v="Obseg pasu"/>
        <s v="Predklon sede"/>
        <s v="Stisk pesti"/>
        <s v="Tek na 600 m"/>
        <s v="Tek v osmici"/>
        <s v="Telesna masa"/>
        <s v="Telesna višina"/>
        <s v="Upogibanje trupa"/>
        <s v="Vesa v zgibi"/>
      </sharedItems>
    </cacheField>
    <cacheField name="Spol" numFmtId="0">
      <sharedItems containsSemiMixedTypes="0" containsString="0" containsNumber="1" containsInteger="1" minValue="1" maxValue="2"/>
    </cacheField>
    <cacheField name="Povprecje" numFmtId="164">
      <sharedItems containsSemiMixedTypes="0" containsString="0" containsNumber="1" minValue="5.3986719007558603" maxValue="94.661490811497004"/>
    </cacheField>
    <cacheField name="StandardniOdklon" numFmtId="2">
      <sharedItems containsString="0" containsBlank="1" containsNumber="1" minValue="0.58364300504344402" maxValue="45.899346491301202"/>
    </cacheField>
    <cacheField name="SteviloVrednosti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s v="ID"/>
    <s v="int"/>
    <n v="4"/>
    <n v="1"/>
  </r>
  <r>
    <x v="0"/>
    <s v="Ime"/>
    <s v="nvarchar"/>
    <n v="100"/>
    <n v="2"/>
  </r>
  <r>
    <x v="0"/>
    <s v="Opombe"/>
    <s v="nvarchar"/>
    <n v="510"/>
    <n v="3"/>
  </r>
  <r>
    <x v="0"/>
    <s v="JeVprasalnik"/>
    <s v="bit"/>
    <n v="1"/>
    <n v="4"/>
  </r>
  <r>
    <x v="0"/>
    <s v="DovoljenLastniVnos"/>
    <s v="bit"/>
    <n v="1"/>
    <n v="5"/>
  </r>
  <r>
    <x v="0"/>
    <s v="Zastarana"/>
    <s v="bit"/>
    <n v="1"/>
    <n v="6"/>
  </r>
  <r>
    <x v="0"/>
    <s v="SamoZaOdrasle"/>
    <s v="bit"/>
    <n v="1"/>
    <n v="7"/>
  </r>
  <r>
    <x v="0"/>
    <s v="Slika"/>
    <s v="nvarchar"/>
    <n v="-1"/>
    <n v="8"/>
  </r>
  <r>
    <x v="1"/>
    <s v="ID"/>
    <s v="int"/>
    <n v="4"/>
    <n v="1"/>
  </r>
  <r>
    <x v="1"/>
    <s v="PriimekInIme"/>
    <s v="nvarchar"/>
    <n v="100"/>
    <n v="2"/>
  </r>
  <r>
    <x v="1"/>
    <s v="DatumRojstva"/>
    <s v="datetime"/>
    <n v="8"/>
    <n v="3"/>
  </r>
  <r>
    <x v="1"/>
    <s v="Spol"/>
    <s v="int"/>
    <n v="4"/>
    <n v="4"/>
  </r>
  <r>
    <x v="1"/>
    <s v="Opombe"/>
    <s v="nvarchar"/>
    <n v="200"/>
    <n v="5"/>
  </r>
  <r>
    <x v="1"/>
    <s v="Priimek"/>
    <s v="nvarchar"/>
    <n v="100"/>
    <n v="6"/>
  </r>
  <r>
    <x v="1"/>
    <s v="Ime"/>
    <s v="nvarchar"/>
    <n v="100"/>
    <n v="7"/>
  </r>
  <r>
    <x v="1"/>
    <s v="AktualniIzvajalecMeritevID"/>
    <s v="int"/>
    <n v="4"/>
    <n v="8"/>
  </r>
  <r>
    <x v="1"/>
    <s v="Oddelek"/>
    <s v="nvarchar"/>
    <n v="100"/>
    <n v="9"/>
  </r>
  <r>
    <x v="1"/>
    <s v="LetoOddelka"/>
    <s v="nvarchar"/>
    <n v="100"/>
    <n v="10"/>
  </r>
  <r>
    <x v="1"/>
    <s v="Emso"/>
    <s v="nvarchar"/>
    <n v="100"/>
    <n v="11"/>
  </r>
  <r>
    <x v="1"/>
    <s v="JeZadnjiLetnik"/>
    <s v="bit"/>
    <n v="1"/>
    <n v="12"/>
  </r>
  <r>
    <x v="1"/>
    <s v="JeAnonimen"/>
    <s v="bit"/>
    <n v="1"/>
    <n v="13"/>
  </r>
  <r>
    <x v="1"/>
    <s v="DatumBrisanje"/>
    <s v="datetime"/>
    <n v="8"/>
    <n v="14"/>
  </r>
  <r>
    <x v="1"/>
    <s v="JeTrajnoHranjenje"/>
    <s v="bit"/>
    <n v="1"/>
    <n v="15"/>
  </r>
  <r>
    <x v="1"/>
    <s v="RazlogZaBrisanje"/>
    <s v="nvarchar"/>
    <n v="200"/>
    <n v="16"/>
  </r>
  <r>
    <x v="1"/>
    <s v="DateCreated"/>
    <s v="datetime"/>
    <n v="8"/>
    <n v="17"/>
  </r>
  <r>
    <x v="1"/>
    <s v="PrehodVlogeClanOdrasel"/>
    <s v="bit"/>
    <n v="1"/>
    <n v="18"/>
  </r>
  <r>
    <x v="2"/>
    <s v="ID"/>
    <s v="int"/>
    <n v="4"/>
    <n v="1"/>
  </r>
  <r>
    <x v="2"/>
    <s v="Test"/>
    <s v="int"/>
    <n v="4"/>
    <n v="2"/>
  </r>
  <r>
    <x v="2"/>
    <s v="Spol"/>
    <s v="int"/>
    <n v="4"/>
    <n v="3"/>
  </r>
  <r>
    <x v="2"/>
    <s v="ImeCone"/>
    <s v="nvarchar"/>
    <n v="510"/>
    <n v="4"/>
  </r>
  <r>
    <x v="2"/>
    <s v="ImeCrte"/>
    <s v="nvarchar"/>
    <n v="510"/>
    <n v="5"/>
  </r>
  <r>
    <x v="2"/>
    <s v="ZapSt"/>
    <s v="int"/>
    <n v="4"/>
    <n v="6"/>
  </r>
  <r>
    <x v="2"/>
    <s v="BarvaCrte"/>
    <s v="nvarchar"/>
    <n v="20"/>
    <n v="7"/>
  </r>
  <r>
    <x v="2"/>
    <s v="DebelinaCrte"/>
    <s v="int"/>
    <n v="4"/>
    <n v="8"/>
  </r>
  <r>
    <x v="2"/>
    <s v="SlogCrte"/>
    <s v="int"/>
    <n v="4"/>
    <n v="9"/>
  </r>
  <r>
    <x v="2"/>
    <s v="BarvaCone"/>
    <s v="nvarchar"/>
    <n v="20"/>
    <n v="10"/>
  </r>
  <r>
    <x v="3"/>
    <s v="ID"/>
    <s v="int"/>
    <n v="4"/>
    <n v="1"/>
  </r>
  <r>
    <x v="3"/>
    <s v="Cona"/>
    <s v="int"/>
    <n v="4"/>
    <n v="2"/>
  </r>
  <r>
    <x v="3"/>
    <s v="Starost"/>
    <s v="float"/>
    <n v="8"/>
    <n v="3"/>
  </r>
  <r>
    <x v="3"/>
    <s v="Vrednost"/>
    <s v="float"/>
    <n v="8"/>
    <n v="4"/>
  </r>
  <r>
    <x v="4"/>
    <s v="ID"/>
    <s v="int"/>
    <n v="4"/>
    <n v="1"/>
  </r>
  <r>
    <x v="4"/>
    <s v="IdUporabnik"/>
    <s v="int"/>
    <n v="4"/>
    <n v="2"/>
  </r>
  <r>
    <x v="4"/>
    <s v="IdClan"/>
    <s v="int"/>
    <n v="4"/>
    <n v="3"/>
  </r>
  <r>
    <x v="4"/>
    <s v="IdVloga"/>
    <s v="int"/>
    <n v="4"/>
    <n v="4"/>
  </r>
  <r>
    <x v="4"/>
    <s v="Opomba"/>
    <s v="nvarchar"/>
    <n v="100"/>
    <n v="5"/>
  </r>
  <r>
    <x v="4"/>
    <s v="IdStatusDostopa"/>
    <s v="int"/>
    <n v="4"/>
    <n v="6"/>
  </r>
  <r>
    <x v="4"/>
    <s v="FunkcijaUporabnika"/>
    <s v="nvarchar"/>
    <n v="510"/>
    <n v="7"/>
  </r>
  <r>
    <x v="5"/>
    <s v="ID"/>
    <s v="int"/>
    <n v="4"/>
    <n v="1"/>
  </r>
  <r>
    <x v="5"/>
    <s v="Naziv"/>
    <s v="nvarchar"/>
    <n v="100"/>
    <n v="2"/>
  </r>
  <r>
    <x v="5"/>
    <s v="Tip"/>
    <s v="int"/>
    <n v="4"/>
    <n v="3"/>
  </r>
  <r>
    <x v="5"/>
    <s v="Naslov"/>
    <s v="nvarchar"/>
    <n v="200"/>
    <n v="4"/>
  </r>
  <r>
    <x v="5"/>
    <s v="KontaktEposta"/>
    <s v="nvarchar"/>
    <n v="100"/>
    <n v="5"/>
  </r>
  <r>
    <x v="5"/>
    <s v="KontaktTelefon"/>
    <s v="nvarchar"/>
    <n v="30"/>
    <n v="6"/>
  </r>
  <r>
    <x v="5"/>
    <s v="SVKoznaka"/>
    <s v="nvarchar"/>
    <n v="8"/>
    <n v="7"/>
  </r>
  <r>
    <x v="5"/>
    <s v="Administrator"/>
    <s v="int"/>
    <n v="4"/>
    <n v="8"/>
  </r>
  <r>
    <x v="5"/>
    <s v="Opombe"/>
    <s v="nvarchar"/>
    <n v="200"/>
    <n v="9"/>
  </r>
  <r>
    <x v="5"/>
    <s v="LogoUrl"/>
    <s v="nvarchar"/>
    <n v="200"/>
    <n v="10"/>
  </r>
  <r>
    <x v="5"/>
    <s v="Ravnatelj"/>
    <s v="nvarchar"/>
    <n v="200"/>
    <n v="11"/>
  </r>
  <r>
    <x v="5"/>
    <s v="EpostaRavnatelj"/>
    <s v="nvarchar"/>
    <n v="100"/>
    <n v="12"/>
  </r>
  <r>
    <x v="5"/>
    <s v="KontaktTelefonOpombe"/>
    <s v="nvarchar"/>
    <n v="450"/>
    <n v="13"/>
  </r>
  <r>
    <x v="5"/>
    <s v="NamestnikAdministratorja"/>
    <s v="int"/>
    <n v="4"/>
    <n v="14"/>
  </r>
  <r>
    <x v="5"/>
    <s v="SVKoseba"/>
    <s v="int"/>
    <n v="4"/>
    <n v="15"/>
  </r>
  <r>
    <x v="5"/>
    <s v="OsnovniTip"/>
    <s v="int"/>
    <n v="4"/>
    <n v="16"/>
  </r>
  <r>
    <x v="5"/>
    <s v="StPogodbe"/>
    <s v="nvarchar"/>
    <n v="200"/>
    <n v="17"/>
  </r>
  <r>
    <x v="5"/>
    <s v="SpletnaStran"/>
    <s v="nvarchar"/>
    <n v="510"/>
    <n v="18"/>
  </r>
  <r>
    <x v="5"/>
    <s v="IzvajanjeOdraslihMeritev"/>
    <s v="bit"/>
    <n v="1"/>
    <n v="19"/>
  </r>
  <r>
    <x v="5"/>
    <s v="IsDeleted"/>
    <s v="bit"/>
    <n v="1"/>
    <n v="20"/>
  </r>
  <r>
    <x v="5"/>
    <s v="VeljavnostPogodbeOd"/>
    <s v="datetime"/>
    <n v="8"/>
    <n v="21"/>
  </r>
  <r>
    <x v="5"/>
    <s v="CreateDate"/>
    <s v="datetime"/>
    <n v="8"/>
    <n v="22"/>
  </r>
  <r>
    <x v="5"/>
    <s v="EducationalProgramID"/>
    <s v="int"/>
    <n v="4"/>
    <n v="23"/>
  </r>
  <r>
    <x v="5"/>
    <s v="StateID"/>
    <s v="int"/>
    <n v="4"/>
    <n v="24"/>
  </r>
  <r>
    <x v="6"/>
    <s v="ID"/>
    <s v="int"/>
    <n v="4"/>
    <n v="1"/>
  </r>
  <r>
    <x v="6"/>
    <s v="Datum"/>
    <s v="datetime"/>
    <n v="8"/>
    <n v="2"/>
  </r>
  <r>
    <x v="6"/>
    <s v="Izvajalec"/>
    <s v="int"/>
    <n v="4"/>
    <n v="3"/>
  </r>
  <r>
    <x v="6"/>
    <s v="KrajInOpombe"/>
    <s v="nvarchar"/>
    <n v="200"/>
    <n v="4"/>
  </r>
  <r>
    <x v="6"/>
    <s v="Status"/>
    <s v="smallint"/>
    <n v="2"/>
    <n v="5"/>
  </r>
  <r>
    <x v="6"/>
    <s v="BaterijaTestov"/>
    <s v="int"/>
    <n v="4"/>
    <n v="6"/>
  </r>
  <r>
    <x v="6"/>
    <s v="IdUporabnik"/>
    <s v="int"/>
    <n v="4"/>
    <n v="7"/>
  </r>
  <r>
    <x v="6"/>
    <s v="JeRednaMeritev"/>
    <s v="bit"/>
    <n v="1"/>
    <n v="8"/>
  </r>
  <r>
    <x v="6"/>
    <s v="CalculationLastDate"/>
    <s v="datetime"/>
    <n v="8"/>
    <n v="9"/>
  </r>
  <r>
    <x v="6"/>
    <s v="DatumOddaje"/>
    <s v="datetime"/>
    <n v="8"/>
    <n v="10"/>
  </r>
  <r>
    <x v="6"/>
    <s v="DatumPotrditve"/>
    <s v="datetime"/>
    <n v="8"/>
    <n v="11"/>
  </r>
  <r>
    <x v="7"/>
    <s v="ID"/>
    <s v="int"/>
    <n v="4"/>
    <n v="1"/>
  </r>
  <r>
    <x v="7"/>
    <s v="IdClan"/>
    <s v="int"/>
    <n v="4"/>
    <n v="2"/>
  </r>
  <r>
    <x v="7"/>
    <s v="IdMeritev"/>
    <s v="int"/>
    <n v="4"/>
    <n v="3"/>
  </r>
  <r>
    <x v="7"/>
    <s v="Opombe"/>
    <s v="nvarchar"/>
    <n v="200"/>
    <n v="4"/>
  </r>
  <r>
    <x v="7"/>
    <s v="Skupina"/>
    <s v="nvarchar"/>
    <n v="50"/>
    <n v="5"/>
  </r>
  <r>
    <x v="7"/>
    <s v="JeAnonimen"/>
    <s v="bit"/>
    <n v="1"/>
    <n v="6"/>
  </r>
  <r>
    <x v="7"/>
    <s v="IdVadbenaSkupina"/>
    <s v="int"/>
    <n v="4"/>
    <n v="7"/>
  </r>
  <r>
    <x v="7"/>
    <s v="DatumMeritve"/>
    <s v="datetime"/>
    <n v="8"/>
    <n v="8"/>
  </r>
  <r>
    <x v="7"/>
    <s v="CalculationLastDate"/>
    <s v="datetime"/>
    <n v="8"/>
    <n v="9"/>
  </r>
  <r>
    <x v="8"/>
    <s v="ID"/>
    <s v="int"/>
    <n v="4"/>
    <n v="1"/>
  </r>
  <r>
    <x v="8"/>
    <s v="IdMerjenec"/>
    <s v="int"/>
    <n v="4"/>
    <n v="2"/>
  </r>
  <r>
    <x v="8"/>
    <s v="IdTest"/>
    <s v="int"/>
    <n v="4"/>
    <n v="3"/>
  </r>
  <r>
    <x v="8"/>
    <s v="Vrednost"/>
    <s v="float"/>
    <n v="8"/>
    <n v="4"/>
  </r>
  <r>
    <x v="8"/>
    <s v="VrednostZaokrozeno"/>
    <s v="float"/>
    <n v="8"/>
    <n v="5"/>
  </r>
  <r>
    <x v="8"/>
    <s v="CentilniRang1"/>
    <s v="float"/>
    <n v="8"/>
    <n v="6"/>
  </r>
  <r>
    <x v="8"/>
    <s v="CentilniRang2"/>
    <s v="float"/>
    <n v="8"/>
    <n v="7"/>
  </r>
  <r>
    <x v="8"/>
    <s v="Opomba"/>
    <s v="nvarchar"/>
    <n v="60"/>
    <n v="8"/>
  </r>
  <r>
    <x v="8"/>
    <s v="Preracun"/>
    <s v="bit"/>
    <n v="1"/>
    <n v="9"/>
  </r>
  <r>
    <x v="8"/>
    <s v="Status"/>
    <s v="int"/>
    <n v="4"/>
    <n v="10"/>
  </r>
  <r>
    <x v="8"/>
    <s v="PonovniIzracun"/>
    <s v="bit"/>
    <n v="1"/>
    <n v="11"/>
  </r>
  <r>
    <x v="8"/>
    <s v="UpdatedOn"/>
    <s v="datetime"/>
    <n v="8"/>
    <n v="12"/>
  </r>
  <r>
    <x v="8"/>
    <s v="ConaID"/>
    <s v="int"/>
    <n v="4"/>
    <n v="13"/>
  </r>
  <r>
    <x v="8"/>
    <s v="ConaBarva"/>
    <s v="nchar"/>
    <n v="20"/>
    <n v="14"/>
  </r>
  <r>
    <x v="9"/>
    <s v="ID"/>
    <s v="int"/>
    <n v="4"/>
    <n v="1"/>
  </r>
  <r>
    <x v="9"/>
    <s v="Sifra"/>
    <s v="nvarchar"/>
    <n v="24"/>
    <n v="2"/>
  </r>
  <r>
    <x v="9"/>
    <s v="Ime"/>
    <s v="nvarchar"/>
    <n v="80"/>
    <n v="3"/>
  </r>
  <r>
    <x v="9"/>
    <s v="Enota"/>
    <s v="nvarchar"/>
    <n v="20"/>
    <n v="4"/>
  </r>
  <r>
    <x v="9"/>
    <s v="Decimalk"/>
    <s v="int"/>
    <n v="4"/>
    <n v="5"/>
  </r>
  <r>
    <x v="9"/>
    <s v="VisjiBoljsi"/>
    <s v="int"/>
    <n v="4"/>
    <n v="6"/>
  </r>
  <r>
    <x v="9"/>
    <s v="Opis"/>
    <s v="nvarchar"/>
    <n v="-1"/>
    <n v="7"/>
  </r>
  <r>
    <x v="9"/>
    <s v="Formula"/>
    <s v="nvarchar"/>
    <n v="510"/>
    <n v="8"/>
  </r>
  <r>
    <x v="9"/>
    <s v="KratekOpis"/>
    <s v="nvarchar"/>
    <n v="-1"/>
    <n v="9"/>
  </r>
  <r>
    <x v="9"/>
    <s v="DaljsiOpis"/>
    <s v="nvarchar"/>
    <n v="-1"/>
    <n v="10"/>
  </r>
  <r>
    <x v="9"/>
    <s v="Slika"/>
    <s v="nvarchar"/>
    <n v="-1"/>
    <n v="11"/>
  </r>
  <r>
    <x v="9"/>
    <s v="Url"/>
    <s v="nvarchar"/>
    <n v="-1"/>
    <n v="12"/>
  </r>
  <r>
    <x v="9"/>
    <s v="KratekOpisPrikaz"/>
    <s v="nvarchar"/>
    <n v="-1"/>
    <n v="13"/>
  </r>
  <r>
    <x v="9"/>
    <s v="DovoljenVnos"/>
    <s v="bit"/>
    <n v="1"/>
    <n v="14"/>
  </r>
  <r>
    <x v="9"/>
    <s v="Sirina"/>
    <s v="int"/>
    <n v="4"/>
    <n v="15"/>
  </r>
  <r>
    <x v="9"/>
    <s v="PorociloOpis"/>
    <s v="nvarchar"/>
    <n v="-1"/>
    <n v="16"/>
  </r>
  <r>
    <x v="9"/>
    <s v="ImaCone"/>
    <s v="bit"/>
    <n v="1"/>
    <n v="17"/>
  </r>
  <r>
    <x v="9"/>
    <s v="GrafYminM"/>
    <s v="int"/>
    <n v="4"/>
    <n v="18"/>
  </r>
  <r>
    <x v="9"/>
    <s v="GrafYmaxM"/>
    <s v="int"/>
    <n v="4"/>
    <n v="19"/>
  </r>
  <r>
    <x v="9"/>
    <s v="GrafYminZ"/>
    <s v="int"/>
    <n v="4"/>
    <n v="20"/>
  </r>
  <r>
    <x v="9"/>
    <s v="GrafYmaxZ"/>
    <s v="int"/>
    <n v="4"/>
    <n v="21"/>
  </r>
  <r>
    <x v="9"/>
    <s v="GrafYStep"/>
    <s v="int"/>
    <n v="4"/>
    <n v="22"/>
  </r>
  <r>
    <x v="9"/>
    <s v="Ikona"/>
    <s v="nvarchar"/>
    <n v="-1"/>
    <n v="23"/>
  </r>
  <r>
    <x v="10"/>
    <s v="ID"/>
    <s v="int"/>
    <n v="4"/>
    <n v="1"/>
  </r>
  <r>
    <x v="10"/>
    <s v="PriimekInIme"/>
    <s v="nvarchar"/>
    <n v="100"/>
    <n v="2"/>
  </r>
  <r>
    <x v="10"/>
    <s v="Eposta"/>
    <s v="nvarchar"/>
    <n v="510"/>
    <n v="3"/>
  </r>
  <r>
    <x v="10"/>
    <s v="Geslo"/>
    <s v="nvarchar"/>
    <n v="100"/>
    <n v="4"/>
  </r>
  <r>
    <x v="10"/>
    <s v="IsPoslan"/>
    <s v="bit"/>
    <n v="1"/>
    <n v="5"/>
  </r>
  <r>
    <x v="10"/>
    <s v="XlsID"/>
    <s v="int"/>
    <n v="4"/>
    <n v="6"/>
  </r>
  <r>
    <x v="10"/>
    <s v="starogeslo"/>
    <s v="nvarchar"/>
    <n v="100"/>
    <n v="7"/>
  </r>
  <r>
    <x v="10"/>
    <s v="DnnStariID"/>
    <s v="int"/>
    <n v="4"/>
    <n v="8"/>
  </r>
  <r>
    <x v="10"/>
    <s v="Emso"/>
    <s v="nvarchar"/>
    <n v="100"/>
    <n v="9"/>
  </r>
  <r>
    <x v="10"/>
    <s v="Ime"/>
    <s v="nvarchar"/>
    <n v="100"/>
    <n v="10"/>
  </r>
  <r>
    <x v="10"/>
    <s v="Priimek"/>
    <s v="nvarchar"/>
    <n v="100"/>
    <n v="11"/>
  </r>
  <r>
    <x v="10"/>
    <s v="RegistrationGUID"/>
    <s v="uniqueidentifier"/>
    <n v="16"/>
    <n v="12"/>
  </r>
  <r>
    <x v="10"/>
    <s v="RegistrationGUIDValid"/>
    <s v="bit"/>
    <n v="1"/>
    <n v="13"/>
  </r>
  <r>
    <x v="10"/>
    <s v="Opomba"/>
    <s v="nvarchar"/>
    <n v="510"/>
    <n v="14"/>
  </r>
  <r>
    <x v="10"/>
    <s v="Telefon"/>
    <s v="nvarchar"/>
    <n v="510"/>
    <n v="15"/>
  </r>
  <r>
    <x v="10"/>
    <s v="PrikaznoIme"/>
    <s v="nvarchar"/>
    <n v="510"/>
    <n v="16"/>
  </r>
  <r>
    <x v="10"/>
    <s v="DnnUpIme"/>
    <s v="nvarchar"/>
    <n v="510"/>
    <n v="17"/>
  </r>
  <r>
    <x v="10"/>
    <s v="Nepreverjen"/>
    <s v="bit"/>
    <n v="1"/>
    <n v="18"/>
  </r>
  <r>
    <x v="10"/>
    <s v="JeAnonimen"/>
    <s v="bit"/>
    <n v="1"/>
    <n v="19"/>
  </r>
  <r>
    <x v="10"/>
    <s v="NepreverjeniOsebniPodatki"/>
    <s v="bit"/>
    <n v="1"/>
    <n v="20"/>
  </r>
  <r>
    <x v="10"/>
    <s v="DatumVerifikacije"/>
    <s v="datetime"/>
    <n v="8"/>
    <n v="21"/>
  </r>
  <r>
    <x v="10"/>
    <s v="VerificiralAdmin"/>
    <s v="int"/>
    <n v="4"/>
    <n v="22"/>
  </r>
  <r>
    <x v="10"/>
    <s v="VerificationRequired"/>
    <s v="bit"/>
    <n v="1"/>
    <n v="23"/>
  </r>
  <r>
    <x v="10"/>
    <s v="VeljavnoSoglasje"/>
    <s v="nvarchar"/>
    <n v="510"/>
    <n v="24"/>
  </r>
  <r>
    <x v="10"/>
    <s v="DateCreated"/>
    <s v="datetime"/>
    <n v="8"/>
    <n v="25"/>
  </r>
  <r>
    <x v="10"/>
    <s v="GDPR"/>
    <s v="bit"/>
    <n v="1"/>
    <n v="26"/>
  </r>
  <r>
    <x v="10"/>
    <s v="SVKTransfearAccepted"/>
    <s v="bit"/>
    <n v="1"/>
    <n v="27"/>
  </r>
  <r>
    <x v="10"/>
    <s v="PostalCodeID"/>
    <s v="int"/>
    <n v="4"/>
    <n v="28"/>
  </r>
  <r>
    <x v="11"/>
    <s v="ID"/>
    <s v="int"/>
    <n v="4"/>
    <n v="1"/>
  </r>
  <r>
    <x v="11"/>
    <s v="IDizvajalca"/>
    <s v="int"/>
    <n v="4"/>
    <n v="2"/>
  </r>
  <r>
    <x v="11"/>
    <s v="IDuporabnika"/>
    <s v="int"/>
    <n v="4"/>
    <n v="3"/>
  </r>
  <r>
    <x v="11"/>
    <s v="DatumVpisa"/>
    <s v="datetime"/>
    <n v="8"/>
    <n v="4"/>
  </r>
  <r>
    <x v="11"/>
    <s v="Vpisal"/>
    <s v="int"/>
    <n v="4"/>
    <n v="5"/>
  </r>
  <r>
    <x v="11"/>
    <s v="NeavtoriziranUporabnik"/>
    <s v="bit"/>
    <n v="1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1"/>
    <n v="36.651528021058702"/>
    <m/>
    <n v="1"/>
  </r>
  <r>
    <x v="0"/>
    <x v="1"/>
    <n v="1"/>
    <n v="75.6928757179587"/>
    <n v="17.618972881323099"/>
    <n v="5"/>
  </r>
  <r>
    <x v="0"/>
    <x v="2"/>
    <n v="1"/>
    <n v="43.233155069581102"/>
    <n v="14.2848616005091"/>
    <n v="5"/>
  </r>
  <r>
    <x v="0"/>
    <x v="3"/>
    <n v="1"/>
    <n v="20.579793365463999"/>
    <n v="19.442991987406501"/>
    <n v="5"/>
  </r>
  <r>
    <x v="0"/>
    <x v="4"/>
    <n v="1"/>
    <n v="25.436777784711001"/>
    <n v="6.24376296794029"/>
    <n v="5"/>
  </r>
  <r>
    <x v="0"/>
    <x v="5"/>
    <n v="1"/>
    <n v="36.855502738119696"/>
    <n v="37.508541560859598"/>
    <n v="5"/>
  </r>
  <r>
    <x v="0"/>
    <x v="6"/>
    <n v="1"/>
    <n v="35.0019253189447"/>
    <n v="32.485264735728201"/>
    <n v="5"/>
  </r>
  <r>
    <x v="0"/>
    <x v="7"/>
    <n v="1"/>
    <n v="28.442037671232899"/>
    <n v="20.463369094081301"/>
    <n v="4"/>
  </r>
  <r>
    <x v="0"/>
    <x v="8"/>
    <n v="1"/>
    <n v="35.361860498915597"/>
    <n v="23.096665425448499"/>
    <n v="5"/>
  </r>
  <r>
    <x v="0"/>
    <x v="9"/>
    <n v="1"/>
    <n v="62.3867676359217"/>
    <n v="14.450111619799101"/>
    <n v="5"/>
  </r>
  <r>
    <x v="0"/>
    <x v="10"/>
    <n v="1"/>
    <n v="63.193593844736498"/>
    <n v="18.8578804755467"/>
    <n v="5"/>
  </r>
  <r>
    <x v="0"/>
    <x v="11"/>
    <n v="1"/>
    <n v="82.149752489611004"/>
    <n v="16.257282671315199"/>
    <n v="5"/>
  </r>
  <r>
    <x v="0"/>
    <x v="12"/>
    <n v="1"/>
    <n v="24.3695890410959"/>
    <n v="22.1488566650042"/>
    <n v="5"/>
  </r>
  <r>
    <x v="0"/>
    <x v="0"/>
    <n v="2"/>
    <n v="75.341736000292798"/>
    <n v="22.9446164287424"/>
    <n v="2"/>
  </r>
  <r>
    <x v="0"/>
    <x v="1"/>
    <n v="2"/>
    <n v="64.030118323913996"/>
    <n v="24.657545130083601"/>
    <n v="7"/>
  </r>
  <r>
    <x v="0"/>
    <x v="2"/>
    <n v="2"/>
    <n v="63.122918392657702"/>
    <n v="23.229582289002199"/>
    <n v="7"/>
  </r>
  <r>
    <x v="0"/>
    <x v="3"/>
    <n v="2"/>
    <n v="50.548864915971699"/>
    <n v="34.131898842963203"/>
    <n v="6"/>
  </r>
  <r>
    <x v="0"/>
    <x v="4"/>
    <n v="2"/>
    <n v="37.3416067494638"/>
    <n v="24.626233947114699"/>
    <n v="7"/>
  </r>
  <r>
    <x v="0"/>
    <x v="5"/>
    <n v="2"/>
    <n v="46.962152784959898"/>
    <n v="29.377725572638401"/>
    <n v="7"/>
  </r>
  <r>
    <x v="0"/>
    <x v="6"/>
    <n v="2"/>
    <n v="62.453942642077699"/>
    <n v="35.301770752940399"/>
    <n v="7"/>
  </r>
  <r>
    <x v="0"/>
    <x v="7"/>
    <n v="2"/>
    <n v="36.764840182648399"/>
    <n v="23.967786818932801"/>
    <n v="3"/>
  </r>
  <r>
    <x v="0"/>
    <x v="8"/>
    <n v="2"/>
    <n v="58.875910579741699"/>
    <n v="29.768155214642"/>
    <n v="6"/>
  </r>
  <r>
    <x v="0"/>
    <x v="9"/>
    <n v="2"/>
    <n v="42.4846609264169"/>
    <n v="30.920913332595401"/>
    <n v="7"/>
  </r>
  <r>
    <x v="0"/>
    <x v="10"/>
    <n v="2"/>
    <n v="63.582534673019801"/>
    <n v="31.4789566330779"/>
    <n v="7"/>
  </r>
  <r>
    <x v="0"/>
    <x v="11"/>
    <n v="2"/>
    <n v="94.661490811497004"/>
    <n v="9.3459363240668498"/>
    <n v="6"/>
  </r>
  <r>
    <x v="0"/>
    <x v="12"/>
    <n v="2"/>
    <n v="43.3059360730593"/>
    <n v="28.930245661420699"/>
    <n v="6"/>
  </r>
  <r>
    <x v="1"/>
    <x v="0"/>
    <n v="1"/>
    <n v="5.3986719007558603"/>
    <n v="0.58364300504344402"/>
    <n v="2"/>
  </r>
  <r>
    <x v="1"/>
    <x v="1"/>
    <n v="1"/>
    <n v="91.460941114827307"/>
    <n v="9.1060531699992602"/>
    <n v="4"/>
  </r>
  <r>
    <x v="1"/>
    <x v="2"/>
    <n v="1"/>
    <n v="48.634717580247603"/>
    <n v="27.6053382296368"/>
    <n v="4"/>
  </r>
  <r>
    <x v="1"/>
    <x v="3"/>
    <n v="1"/>
    <n v="61.862417615012902"/>
    <n v="21.887891161404799"/>
    <n v="4"/>
  </r>
  <r>
    <x v="1"/>
    <x v="4"/>
    <n v="1"/>
    <n v="48.079883649827899"/>
    <n v="44.696067614000803"/>
    <n v="4"/>
  </r>
  <r>
    <x v="1"/>
    <x v="5"/>
    <n v="1"/>
    <n v="20.632147088050498"/>
    <n v="18.798179553454201"/>
    <n v="4"/>
  </r>
  <r>
    <x v="1"/>
    <x v="6"/>
    <n v="1"/>
    <n v="54.218225781435201"/>
    <n v="35.262556477528598"/>
    <n v="4"/>
  </r>
  <r>
    <x v="1"/>
    <x v="7"/>
    <n v="1"/>
    <n v="27.997602739726101"/>
    <n v="5.9430871999589501"/>
    <n v="2"/>
  </r>
  <r>
    <x v="1"/>
    <x v="8"/>
    <n v="1"/>
    <n v="60.373775110461999"/>
    <n v="17.462228319892699"/>
    <n v="4"/>
  </r>
  <r>
    <x v="1"/>
    <x v="9"/>
    <n v="1"/>
    <n v="56.709385994533001"/>
    <n v="24.0042634990232"/>
    <n v="4"/>
  </r>
  <r>
    <x v="1"/>
    <x v="10"/>
    <n v="1"/>
    <n v="62.798385324484499"/>
    <n v="25.7595209793995"/>
    <n v="4"/>
  </r>
  <r>
    <x v="1"/>
    <x v="11"/>
    <n v="1"/>
    <n v="59.749999921429101"/>
    <n v="45.899346491301202"/>
    <n v="4"/>
  </r>
  <r>
    <x v="1"/>
    <x v="12"/>
    <n v="1"/>
    <n v="40.348320908430097"/>
    <n v="35.822878305744098"/>
    <n v="4"/>
  </r>
  <r>
    <x v="1"/>
    <x v="0"/>
    <n v="2"/>
    <n v="43.235297471821802"/>
    <n v="19.7491306827092"/>
    <n v="10"/>
  </r>
  <r>
    <x v="1"/>
    <x v="1"/>
    <n v="2"/>
    <n v="48.669647872792503"/>
    <n v="26.5497345173201"/>
    <n v="14"/>
  </r>
  <r>
    <x v="1"/>
    <x v="2"/>
    <n v="2"/>
    <n v="40.380144800357499"/>
    <n v="28.362469315557298"/>
    <n v="14"/>
  </r>
  <r>
    <x v="1"/>
    <x v="3"/>
    <n v="2"/>
    <n v="29.357044817825798"/>
    <n v="24.394137269943101"/>
    <n v="14"/>
  </r>
  <r>
    <x v="1"/>
    <x v="4"/>
    <n v="2"/>
    <n v="44.802785803087701"/>
    <n v="31.228005675003502"/>
    <n v="14"/>
  </r>
  <r>
    <x v="1"/>
    <x v="5"/>
    <n v="2"/>
    <n v="35.703115171345701"/>
    <n v="22.159618060461501"/>
    <n v="14"/>
  </r>
  <r>
    <x v="1"/>
    <x v="6"/>
    <n v="2"/>
    <n v="45.019647555939997"/>
    <n v="32.779137151129603"/>
    <n v="14"/>
  </r>
  <r>
    <x v="1"/>
    <x v="7"/>
    <n v="2"/>
    <n v="15.1508135544575"/>
    <n v="10.6764258555102"/>
    <n v="4"/>
  </r>
  <r>
    <x v="1"/>
    <x v="8"/>
    <n v="2"/>
    <n v="26.7210537706023"/>
    <n v="13.3747843626776"/>
    <n v="14"/>
  </r>
  <r>
    <x v="1"/>
    <x v="9"/>
    <n v="2"/>
    <n v="56.9723774500034"/>
    <n v="26.608216129667301"/>
    <n v="14"/>
  </r>
  <r>
    <x v="1"/>
    <x v="10"/>
    <n v="2"/>
    <n v="53.798485880997802"/>
    <n v="30.772498577804399"/>
    <n v="14"/>
  </r>
  <r>
    <x v="1"/>
    <x v="11"/>
    <n v="2"/>
    <n v="60.105047243134401"/>
    <n v="33.638440093601702"/>
    <n v="12"/>
  </r>
  <r>
    <x v="1"/>
    <x v="12"/>
    <n v="2"/>
    <n v="20.667123287671199"/>
    <n v="16.35459102695740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EA10E-A26E-49AC-AF64-42686A591C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16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68156-9C62-4C1C-828F-A284B86BA2A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K16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numFmtId="164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Povprecje" fld="3" subtotal="average" baseField="1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28T16:34:38.87" personId="{AF05C2B8-0698-4726-904A-F9C9889CE7D9}" id="{97CA9043-9921-41C1-A16D-6402811CC869}">
    <text>--all_table_fields. BL 2026-03-28
SELECT
    fk.name AS ForeignKeyName,
    tp.name AS ParentTable,
    cp.name AS ParentColumn,
    tr.name AS ReferencedTable,
    cr.name AS ReferencedColumn
FROM sys.foreign_keys fk
INNER JOIN sys.foreign_key_columns fkc 
    ON fk.object_id = fkc.constraint_object_id
INNER JOIN sys.tables tp 
    ON fkc.parent_object_id = tp.object_id
INNER JOIN sys.columns cp 
    ON fkc.parent_object_id = cp.object_id 
    AND fkc.parent_column_id = cp.column_id
INNER JOIN sys.tables tr 
    ON fkc.referenced_object_id = tr.object_id
INNER JOIN sys.columns cr 
    ON fkc.referenced_object_id = cr.object_id 
    AND fkc.referenced_column_id = cr.column_id
where tp.name in ('BaterijaTestov', 'Clan', 'Cona', 'ConaStarost', 'DostopUporabnikaDoClana', 'IzvajalecMeritev', 'Meritev', 'Merjenec', 'Rezultat', 'Test', 'Uporabnik', 'UporabnikPriIzvajalcu')
ORDER BY tp.name, fk.name;
SELECT
    t.name AS TableName,
    c.name AS ColumnName,
    ty.name AS DataType,
    c.max_length AS MaxLength,
    c.is_nullable AS IsNullable,
    c.column_id AS ColumnOrder
FROM sys.tables t
JOIN sys.columns c 
    ON t.object_id = c.object_id
JOIN sys.types ty
    ON c.user_type_id = ty.user_type_id
ORDER BY t.name, c.column_id;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30T07:13:10.39" personId="{AF05C2B8-0698-4726-904A-F9C9889CE7D9}" id="{C6FC3EAA-14BD-4878-BDBF-9F5B1C7E997F}">
    <text>SELECT
    m.ID AS MerjenecID,
    c.PriimekInIme,
    c.DatumRojstva,
    c.Spol,
    CASE 
        WHEN EXISTS (
            SELECT 1
            FROM Merjenec m2
            JOIN Meritev me2 ON me2.ID = m2.IdMeritev
            WHERE m2.IdClan = m.IdClan
              AND me2.BaterijaTestov = 26
        ) THEN 1
        ELSE 0
    END AS Zmigaj
INTO #TempMerjenci
FROM Merjenec m
JOIN Clan c ON c.ID = m.IdClan
WHERE m.IdMeritev = 47894 --47894=odrasli, 47895=senior
order by zmigaj
SELECT * FROM #TempMerjenci
SELECT
    t.Zmigaj,
    te.Ime AS TestIme,
    c.Spol,
    AVG(r.CentilniRang1) AS Povprecje,
    STDEV(r.CentilniRang1) AS StandardniOdklon,
    COUNT(r.CentilniRang1) AS SteviloVrednosti
FROM #TempMerjenci t
JOIN Merjenec m ON m.ID = t.MerjenecID
JOIN Clan c ON c.ID = m.IdClan
JOIN Rezultat r ON r.IdMerjenec = t.MerjenecID
JOIN Test te ON te.ID = r.IdTest
WHERE r.CentilniRang1 IS NOT NULL
GROUP BY 
    t.Zmigaj,
    te.Ime,
    c.Spol
ORDER BY c.Spol, te.Ime,  t.Zmigaj;
SELECT
    t.Zmigaj,
    te.Ime AS TestIme,
    c.Spol,
    SUM(CASE WHEN r.ConaBarva = '#9ac263' THEN 1 ELSE 0 END) AS BarvaZelena,
    SUM(CASE WHEN r.ConaBarva = '#df3127' THEN 1 ELSE 0 END) AS BarvaRdeca,
    SUM(CASE WHEN r.ConaBarva = '#ffd54e' THEN 1 ELSE 0 END) AS BarvaRumena
FROM #TempMerjenci t
JOIN Merjenec m ON m.ID = t.MerjenecID
JOIN Clan c ON c.ID = m.IdClan
JOIN Rezultat r ON r.IdMerjenec = t.MerjenecID
JOIN Test te ON te.ID = r.IdTest
WHERE r.ConaBarva IN ('#9ac263', '#df3127', '#ffd54e')
GROUP BY
    t.Zmigaj,
    te.Ime,
    c.Spol
ORDER BY
    t.Zmigaj,
    te.Ime,
    c.Spol;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8D98-C95D-4830-BC0B-7C9FD772792B}">
  <dimension ref="A1:M193"/>
  <sheetViews>
    <sheetView tabSelected="1" workbookViewId="0">
      <pane ySplit="1" topLeftCell="A144" activePane="bottomLeft" state="frozen"/>
      <selection pane="bottomLeft" activeCell="A164" sqref="A164:D168"/>
    </sheetView>
  </sheetViews>
  <sheetFormatPr defaultRowHeight="14.4" x14ac:dyDescent="0.3"/>
  <cols>
    <col min="1" max="1" width="23.109375" bestFit="1" customWidth="1"/>
    <col min="2" max="2" width="21.44140625" customWidth="1"/>
    <col min="8" max="8" width="2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A2" t="s">
        <v>5</v>
      </c>
      <c r="B2" t="s">
        <v>6</v>
      </c>
      <c r="C2" t="s">
        <v>7</v>
      </c>
      <c r="D2">
        <v>4</v>
      </c>
      <c r="E2">
        <v>1</v>
      </c>
    </row>
    <row r="3" spans="1:10" x14ac:dyDescent="0.3">
      <c r="A3" t="s">
        <v>5</v>
      </c>
      <c r="B3" t="s">
        <v>8</v>
      </c>
      <c r="C3" t="s">
        <v>9</v>
      </c>
      <c r="D3">
        <v>100</v>
      </c>
      <c r="E3">
        <v>2</v>
      </c>
      <c r="H3" s="1" t="s">
        <v>10</v>
      </c>
    </row>
    <row r="4" spans="1:10" x14ac:dyDescent="0.3">
      <c r="A4" t="s">
        <v>5</v>
      </c>
      <c r="B4" t="s">
        <v>11</v>
      </c>
      <c r="C4" t="s">
        <v>9</v>
      </c>
      <c r="D4">
        <v>510</v>
      </c>
      <c r="E4">
        <v>3</v>
      </c>
      <c r="H4" s="2" t="s">
        <v>5</v>
      </c>
      <c r="J4" t="str">
        <f>"('"&amp;_xlfn.TEXTJOIN("', '",TRUE,H4:H15)&amp;"')"</f>
        <v>('BaterijaTestov', 'Clan', 'Cona', 'ConaStarost', 'DostopUporabnikaDoClana', 'IzvajalecMeritev', 'Meritev', 'Merjenec', 'Rezultat', 'Test', 'Uporabnik', 'UporabnikPriIzvajalcu')</v>
      </c>
    </row>
    <row r="5" spans="1:10" x14ac:dyDescent="0.3">
      <c r="A5" t="s">
        <v>5</v>
      </c>
      <c r="B5" t="s">
        <v>12</v>
      </c>
      <c r="C5" t="s">
        <v>13</v>
      </c>
      <c r="D5">
        <v>1</v>
      </c>
      <c r="E5">
        <v>4</v>
      </c>
      <c r="H5" s="2" t="s">
        <v>14</v>
      </c>
    </row>
    <row r="6" spans="1:10" x14ac:dyDescent="0.3">
      <c r="A6" t="s">
        <v>5</v>
      </c>
      <c r="B6" t="s">
        <v>15</v>
      </c>
      <c r="C6" t="s">
        <v>13</v>
      </c>
      <c r="D6">
        <v>1</v>
      </c>
      <c r="E6">
        <v>5</v>
      </c>
      <c r="H6" s="2" t="s">
        <v>16</v>
      </c>
    </row>
    <row r="7" spans="1:10" x14ac:dyDescent="0.3">
      <c r="A7" t="s">
        <v>5</v>
      </c>
      <c r="B7" t="s">
        <v>17</v>
      </c>
      <c r="C7" t="s">
        <v>13</v>
      </c>
      <c r="D7">
        <v>1</v>
      </c>
      <c r="E7">
        <v>6</v>
      </c>
      <c r="H7" s="2" t="s">
        <v>18</v>
      </c>
    </row>
    <row r="8" spans="1:10" x14ac:dyDescent="0.3">
      <c r="A8" t="s">
        <v>5</v>
      </c>
      <c r="B8" t="s">
        <v>19</v>
      </c>
      <c r="C8" t="s">
        <v>13</v>
      </c>
      <c r="D8">
        <v>1</v>
      </c>
      <c r="E8">
        <v>7</v>
      </c>
      <c r="H8" s="2" t="s">
        <v>20</v>
      </c>
    </row>
    <row r="9" spans="1:10" x14ac:dyDescent="0.3">
      <c r="A9" t="s">
        <v>5</v>
      </c>
      <c r="B9" t="s">
        <v>21</v>
      </c>
      <c r="C9" t="s">
        <v>9</v>
      </c>
      <c r="D9">
        <v>-1</v>
      </c>
      <c r="E9">
        <v>8</v>
      </c>
      <c r="H9" s="2" t="s">
        <v>22</v>
      </c>
    </row>
    <row r="10" spans="1:10" x14ac:dyDescent="0.3">
      <c r="A10" t="s">
        <v>14</v>
      </c>
      <c r="B10" t="s">
        <v>6</v>
      </c>
      <c r="C10" t="s">
        <v>7</v>
      </c>
      <c r="D10">
        <v>4</v>
      </c>
      <c r="E10">
        <v>1</v>
      </c>
      <c r="H10" s="2" t="s">
        <v>23</v>
      </c>
    </row>
    <row r="11" spans="1:10" x14ac:dyDescent="0.3">
      <c r="A11" t="s">
        <v>14</v>
      </c>
      <c r="B11" t="s">
        <v>24</v>
      </c>
      <c r="C11" t="s">
        <v>9</v>
      </c>
      <c r="D11">
        <v>100</v>
      </c>
      <c r="E11">
        <v>2</v>
      </c>
      <c r="H11" s="2" t="s">
        <v>25</v>
      </c>
    </row>
    <row r="12" spans="1:10" x14ac:dyDescent="0.3">
      <c r="A12" t="s">
        <v>14</v>
      </c>
      <c r="B12" t="s">
        <v>26</v>
      </c>
      <c r="C12" t="s">
        <v>27</v>
      </c>
      <c r="D12">
        <v>8</v>
      </c>
      <c r="E12">
        <v>3</v>
      </c>
      <c r="H12" s="2" t="s">
        <v>28</v>
      </c>
    </row>
    <row r="13" spans="1:10" x14ac:dyDescent="0.3">
      <c r="A13" t="s">
        <v>14</v>
      </c>
      <c r="B13" t="s">
        <v>29</v>
      </c>
      <c r="C13" t="s">
        <v>7</v>
      </c>
      <c r="D13">
        <v>4</v>
      </c>
      <c r="E13">
        <v>4</v>
      </c>
      <c r="H13" s="2" t="s">
        <v>30</v>
      </c>
    </row>
    <row r="14" spans="1:10" x14ac:dyDescent="0.3">
      <c r="A14" t="s">
        <v>14</v>
      </c>
      <c r="B14" t="s">
        <v>11</v>
      </c>
      <c r="C14" t="s">
        <v>9</v>
      </c>
      <c r="D14">
        <v>200</v>
      </c>
      <c r="E14">
        <v>5</v>
      </c>
      <c r="H14" s="2" t="s">
        <v>31</v>
      </c>
    </row>
    <row r="15" spans="1:10" x14ac:dyDescent="0.3">
      <c r="A15" t="s">
        <v>14</v>
      </c>
      <c r="B15" t="s">
        <v>32</v>
      </c>
      <c r="C15" t="s">
        <v>9</v>
      </c>
      <c r="D15">
        <v>100</v>
      </c>
      <c r="E15">
        <v>6</v>
      </c>
      <c r="H15" s="2" t="s">
        <v>33</v>
      </c>
    </row>
    <row r="16" spans="1:10" x14ac:dyDescent="0.3">
      <c r="A16" t="s">
        <v>14</v>
      </c>
      <c r="B16" t="s">
        <v>8</v>
      </c>
      <c r="C16" t="s">
        <v>9</v>
      </c>
      <c r="D16">
        <v>100</v>
      </c>
      <c r="E16">
        <v>7</v>
      </c>
      <c r="H16" s="2" t="s">
        <v>34</v>
      </c>
    </row>
    <row r="17" spans="1:13" x14ac:dyDescent="0.3">
      <c r="A17" t="s">
        <v>14</v>
      </c>
      <c r="B17" t="s">
        <v>35</v>
      </c>
      <c r="C17" t="s">
        <v>7</v>
      </c>
      <c r="D17">
        <v>4</v>
      </c>
      <c r="E17">
        <v>8</v>
      </c>
    </row>
    <row r="18" spans="1:13" x14ac:dyDescent="0.3">
      <c r="A18" t="s">
        <v>14</v>
      </c>
      <c r="B18" t="s">
        <v>36</v>
      </c>
      <c r="C18" t="s">
        <v>9</v>
      </c>
      <c r="D18">
        <v>100</v>
      </c>
      <c r="E18">
        <v>9</v>
      </c>
    </row>
    <row r="19" spans="1:13" x14ac:dyDescent="0.3">
      <c r="A19" t="s">
        <v>14</v>
      </c>
      <c r="B19" t="s">
        <v>37</v>
      </c>
      <c r="C19" t="s">
        <v>9</v>
      </c>
      <c r="D19">
        <v>100</v>
      </c>
      <c r="E19">
        <v>10</v>
      </c>
      <c r="I19" t="s">
        <v>179</v>
      </c>
    </row>
    <row r="20" spans="1:13" x14ac:dyDescent="0.3">
      <c r="A20" t="s">
        <v>14</v>
      </c>
      <c r="B20" t="s">
        <v>38</v>
      </c>
      <c r="C20" t="s">
        <v>9</v>
      </c>
      <c r="D20">
        <v>100</v>
      </c>
      <c r="E20">
        <v>11</v>
      </c>
    </row>
    <row r="21" spans="1:13" x14ac:dyDescent="0.3">
      <c r="A21" t="s">
        <v>14</v>
      </c>
      <c r="B21" t="s">
        <v>39</v>
      </c>
      <c r="C21" t="s">
        <v>13</v>
      </c>
      <c r="D21">
        <v>1</v>
      </c>
      <c r="E21">
        <v>12</v>
      </c>
    </row>
    <row r="22" spans="1:13" x14ac:dyDescent="0.3">
      <c r="A22" t="s">
        <v>14</v>
      </c>
      <c r="B22" t="s">
        <v>40</v>
      </c>
      <c r="C22" t="s">
        <v>13</v>
      </c>
      <c r="D22">
        <v>1</v>
      </c>
      <c r="E22">
        <v>13</v>
      </c>
      <c r="H22" t="s">
        <v>0</v>
      </c>
      <c r="I22" t="s">
        <v>1</v>
      </c>
      <c r="J22" t="s">
        <v>2</v>
      </c>
      <c r="K22" t="s">
        <v>3</v>
      </c>
      <c r="L22" t="s">
        <v>189</v>
      </c>
      <c r="M22" t="s">
        <v>4</v>
      </c>
    </row>
    <row r="23" spans="1:13" x14ac:dyDescent="0.3">
      <c r="A23" t="s">
        <v>14</v>
      </c>
      <c r="B23" t="s">
        <v>41</v>
      </c>
      <c r="C23" t="s">
        <v>27</v>
      </c>
      <c r="D23">
        <v>8</v>
      </c>
      <c r="E23">
        <v>14</v>
      </c>
      <c r="H23" t="s">
        <v>5</v>
      </c>
      <c r="I23" t="s">
        <v>6</v>
      </c>
      <c r="J23" t="s">
        <v>7</v>
      </c>
      <c r="K23">
        <v>4</v>
      </c>
      <c r="M23">
        <v>1</v>
      </c>
    </row>
    <row r="24" spans="1:13" x14ac:dyDescent="0.3">
      <c r="A24" t="s">
        <v>14</v>
      </c>
      <c r="B24" t="s">
        <v>42</v>
      </c>
      <c r="C24" t="s">
        <v>13</v>
      </c>
      <c r="D24">
        <v>1</v>
      </c>
      <c r="E24">
        <v>15</v>
      </c>
      <c r="H24" t="s">
        <v>5</v>
      </c>
      <c r="I24" t="s">
        <v>8</v>
      </c>
      <c r="J24" t="s">
        <v>9</v>
      </c>
      <c r="K24">
        <v>100</v>
      </c>
      <c r="M24">
        <v>2</v>
      </c>
    </row>
    <row r="25" spans="1:13" x14ac:dyDescent="0.3">
      <c r="A25" t="s">
        <v>14</v>
      </c>
      <c r="B25" t="s">
        <v>43</v>
      </c>
      <c r="C25" t="s">
        <v>9</v>
      </c>
      <c r="D25">
        <v>200</v>
      </c>
      <c r="E25">
        <v>16</v>
      </c>
      <c r="H25" t="s">
        <v>5</v>
      </c>
      <c r="I25" t="s">
        <v>11</v>
      </c>
      <c r="J25" t="s">
        <v>9</v>
      </c>
      <c r="K25">
        <v>510</v>
      </c>
      <c r="M25">
        <v>3</v>
      </c>
    </row>
    <row r="26" spans="1:13" x14ac:dyDescent="0.3">
      <c r="A26" t="s">
        <v>14</v>
      </c>
      <c r="B26" t="s">
        <v>44</v>
      </c>
      <c r="C26" t="s">
        <v>27</v>
      </c>
      <c r="D26">
        <v>8</v>
      </c>
      <c r="E26">
        <v>17</v>
      </c>
      <c r="H26" t="s">
        <v>5</v>
      </c>
      <c r="I26" t="s">
        <v>12</v>
      </c>
      <c r="J26" t="s">
        <v>13</v>
      </c>
      <c r="K26">
        <v>1</v>
      </c>
      <c r="M26">
        <v>4</v>
      </c>
    </row>
    <row r="27" spans="1:13" x14ac:dyDescent="0.3">
      <c r="A27" t="s">
        <v>14</v>
      </c>
      <c r="B27" t="s">
        <v>45</v>
      </c>
      <c r="C27" t="s">
        <v>13</v>
      </c>
      <c r="D27">
        <v>1</v>
      </c>
      <c r="E27">
        <v>18</v>
      </c>
      <c r="H27" t="s">
        <v>5</v>
      </c>
      <c r="I27" t="s">
        <v>15</v>
      </c>
      <c r="J27" t="s">
        <v>13</v>
      </c>
      <c r="K27">
        <v>1</v>
      </c>
      <c r="M27">
        <v>5</v>
      </c>
    </row>
    <row r="28" spans="1:13" x14ac:dyDescent="0.3">
      <c r="A28" t="s">
        <v>16</v>
      </c>
      <c r="B28" t="s">
        <v>6</v>
      </c>
      <c r="C28" t="s">
        <v>7</v>
      </c>
      <c r="D28">
        <v>4</v>
      </c>
      <c r="E28">
        <v>1</v>
      </c>
      <c r="H28" t="s">
        <v>5</v>
      </c>
      <c r="I28" t="s">
        <v>17</v>
      </c>
      <c r="J28" t="s">
        <v>13</v>
      </c>
      <c r="K28">
        <v>1</v>
      </c>
      <c r="M28">
        <v>6</v>
      </c>
    </row>
    <row r="29" spans="1:13" x14ac:dyDescent="0.3">
      <c r="A29" t="s">
        <v>16</v>
      </c>
      <c r="B29" t="s">
        <v>30</v>
      </c>
      <c r="C29" t="s">
        <v>7</v>
      </c>
      <c r="D29">
        <v>4</v>
      </c>
      <c r="E29">
        <v>2</v>
      </c>
      <c r="H29" t="s">
        <v>5</v>
      </c>
      <c r="I29" t="s">
        <v>19</v>
      </c>
      <c r="J29" t="s">
        <v>13</v>
      </c>
      <c r="K29">
        <v>1</v>
      </c>
      <c r="M29">
        <v>7</v>
      </c>
    </row>
    <row r="30" spans="1:13" x14ac:dyDescent="0.3">
      <c r="A30" t="s">
        <v>16</v>
      </c>
      <c r="B30" t="s">
        <v>29</v>
      </c>
      <c r="C30" t="s">
        <v>7</v>
      </c>
      <c r="D30">
        <v>4</v>
      </c>
      <c r="E30">
        <v>3</v>
      </c>
      <c r="H30" t="s">
        <v>5</v>
      </c>
      <c r="I30" t="s">
        <v>21</v>
      </c>
      <c r="J30" t="s">
        <v>9</v>
      </c>
      <c r="K30">
        <v>-1</v>
      </c>
      <c r="M30">
        <v>8</v>
      </c>
    </row>
    <row r="31" spans="1:13" x14ac:dyDescent="0.3">
      <c r="A31" t="s">
        <v>16</v>
      </c>
      <c r="B31" t="s">
        <v>46</v>
      </c>
      <c r="C31" t="s">
        <v>9</v>
      </c>
      <c r="D31">
        <v>510</v>
      </c>
      <c r="E31">
        <v>4</v>
      </c>
      <c r="H31" t="s">
        <v>14</v>
      </c>
      <c r="I31" t="s">
        <v>6</v>
      </c>
      <c r="J31" t="s">
        <v>7</v>
      </c>
      <c r="K31">
        <v>4</v>
      </c>
      <c r="M31">
        <v>1</v>
      </c>
    </row>
    <row r="32" spans="1:13" x14ac:dyDescent="0.3">
      <c r="A32" t="s">
        <v>16</v>
      </c>
      <c r="B32" t="s">
        <v>47</v>
      </c>
      <c r="C32" t="s">
        <v>9</v>
      </c>
      <c r="D32">
        <v>510</v>
      </c>
      <c r="E32">
        <v>5</v>
      </c>
      <c r="H32" t="s">
        <v>14</v>
      </c>
      <c r="I32" t="s">
        <v>24</v>
      </c>
      <c r="J32" t="s">
        <v>9</v>
      </c>
      <c r="K32">
        <v>100</v>
      </c>
      <c r="M32">
        <v>2</v>
      </c>
    </row>
    <row r="33" spans="1:13" x14ac:dyDescent="0.3">
      <c r="A33" t="s">
        <v>16</v>
      </c>
      <c r="B33" t="s">
        <v>48</v>
      </c>
      <c r="C33" t="s">
        <v>7</v>
      </c>
      <c r="D33">
        <v>4</v>
      </c>
      <c r="E33">
        <v>6</v>
      </c>
      <c r="H33" t="s">
        <v>14</v>
      </c>
      <c r="I33" t="s">
        <v>26</v>
      </c>
      <c r="J33" t="s">
        <v>27</v>
      </c>
      <c r="K33">
        <v>8</v>
      </c>
      <c r="M33">
        <v>3</v>
      </c>
    </row>
    <row r="34" spans="1:13" x14ac:dyDescent="0.3">
      <c r="A34" t="s">
        <v>16</v>
      </c>
      <c r="B34" t="s">
        <v>49</v>
      </c>
      <c r="C34" t="s">
        <v>9</v>
      </c>
      <c r="D34">
        <v>20</v>
      </c>
      <c r="E34">
        <v>7</v>
      </c>
      <c r="H34" t="s">
        <v>14</v>
      </c>
      <c r="I34" t="s">
        <v>29</v>
      </c>
      <c r="J34" t="s">
        <v>7</v>
      </c>
      <c r="K34">
        <v>4</v>
      </c>
      <c r="M34">
        <v>4</v>
      </c>
    </row>
    <row r="35" spans="1:13" x14ac:dyDescent="0.3">
      <c r="A35" t="s">
        <v>16</v>
      </c>
      <c r="B35" t="s">
        <v>50</v>
      </c>
      <c r="C35" t="s">
        <v>7</v>
      </c>
      <c r="D35">
        <v>4</v>
      </c>
      <c r="E35">
        <v>8</v>
      </c>
      <c r="H35" t="s">
        <v>14</v>
      </c>
      <c r="I35" t="s">
        <v>11</v>
      </c>
      <c r="J35" t="s">
        <v>9</v>
      </c>
      <c r="K35">
        <v>200</v>
      </c>
      <c r="M35">
        <v>5</v>
      </c>
    </row>
    <row r="36" spans="1:13" x14ac:dyDescent="0.3">
      <c r="A36" t="s">
        <v>16</v>
      </c>
      <c r="B36" t="s">
        <v>51</v>
      </c>
      <c r="C36" t="s">
        <v>7</v>
      </c>
      <c r="D36">
        <v>4</v>
      </c>
      <c r="E36">
        <v>9</v>
      </c>
      <c r="H36" t="s">
        <v>14</v>
      </c>
      <c r="I36" t="s">
        <v>32</v>
      </c>
      <c r="J36" t="s">
        <v>9</v>
      </c>
      <c r="K36">
        <v>100</v>
      </c>
      <c r="M36">
        <v>6</v>
      </c>
    </row>
    <row r="37" spans="1:13" x14ac:dyDescent="0.3">
      <c r="A37" t="s">
        <v>16</v>
      </c>
      <c r="B37" t="s">
        <v>52</v>
      </c>
      <c r="C37" t="s">
        <v>9</v>
      </c>
      <c r="D37">
        <v>20</v>
      </c>
      <c r="E37">
        <v>10</v>
      </c>
      <c r="H37" t="s">
        <v>14</v>
      </c>
      <c r="I37" t="s">
        <v>8</v>
      </c>
      <c r="J37" t="s">
        <v>9</v>
      </c>
      <c r="K37">
        <v>100</v>
      </c>
      <c r="M37">
        <v>7</v>
      </c>
    </row>
    <row r="38" spans="1:13" x14ac:dyDescent="0.3">
      <c r="A38" t="s">
        <v>18</v>
      </c>
      <c r="B38" t="s">
        <v>6</v>
      </c>
      <c r="C38" t="s">
        <v>7</v>
      </c>
      <c r="D38">
        <v>4</v>
      </c>
      <c r="E38">
        <v>1</v>
      </c>
      <c r="H38" t="s">
        <v>14</v>
      </c>
      <c r="I38" t="s">
        <v>35</v>
      </c>
      <c r="J38" t="s">
        <v>7</v>
      </c>
      <c r="K38">
        <v>4</v>
      </c>
      <c r="M38">
        <v>8</v>
      </c>
    </row>
    <row r="39" spans="1:13" x14ac:dyDescent="0.3">
      <c r="A39" t="s">
        <v>18</v>
      </c>
      <c r="B39" t="s">
        <v>16</v>
      </c>
      <c r="C39" t="s">
        <v>7</v>
      </c>
      <c r="D39">
        <v>4</v>
      </c>
      <c r="E39">
        <v>2</v>
      </c>
      <c r="H39" t="s">
        <v>14</v>
      </c>
      <c r="I39" t="s">
        <v>36</v>
      </c>
      <c r="J39" t="s">
        <v>9</v>
      </c>
      <c r="K39">
        <v>100</v>
      </c>
      <c r="M39">
        <v>9</v>
      </c>
    </row>
    <row r="40" spans="1:13" x14ac:dyDescent="0.3">
      <c r="A40" t="s">
        <v>18</v>
      </c>
      <c r="B40" t="s">
        <v>53</v>
      </c>
      <c r="C40" t="s">
        <v>54</v>
      </c>
      <c r="D40">
        <v>8</v>
      </c>
      <c r="E40">
        <v>3</v>
      </c>
      <c r="H40" t="s">
        <v>14</v>
      </c>
      <c r="I40" t="s">
        <v>37</v>
      </c>
      <c r="J40" t="s">
        <v>9</v>
      </c>
      <c r="K40">
        <v>100</v>
      </c>
      <c r="M40">
        <v>10</v>
      </c>
    </row>
    <row r="41" spans="1:13" x14ac:dyDescent="0.3">
      <c r="A41" t="s">
        <v>18</v>
      </c>
      <c r="B41" t="s">
        <v>55</v>
      </c>
      <c r="C41" t="s">
        <v>54</v>
      </c>
      <c r="D41">
        <v>8</v>
      </c>
      <c r="E41">
        <v>4</v>
      </c>
      <c r="H41" t="s">
        <v>14</v>
      </c>
      <c r="I41" t="s">
        <v>38</v>
      </c>
      <c r="J41" t="s">
        <v>9</v>
      </c>
      <c r="K41">
        <v>100</v>
      </c>
      <c r="M41">
        <v>11</v>
      </c>
    </row>
    <row r="42" spans="1:13" x14ac:dyDescent="0.3">
      <c r="A42" t="s">
        <v>20</v>
      </c>
      <c r="B42" t="s">
        <v>6</v>
      </c>
      <c r="C42" t="s">
        <v>7</v>
      </c>
      <c r="D42">
        <v>4</v>
      </c>
      <c r="E42">
        <v>1</v>
      </c>
      <c r="H42" t="s">
        <v>14</v>
      </c>
      <c r="I42" t="s">
        <v>39</v>
      </c>
      <c r="J42" t="s">
        <v>13</v>
      </c>
      <c r="K42">
        <v>1</v>
      </c>
      <c r="M42">
        <v>12</v>
      </c>
    </row>
    <row r="43" spans="1:13" x14ac:dyDescent="0.3">
      <c r="A43" t="s">
        <v>20</v>
      </c>
      <c r="B43" t="s">
        <v>56</v>
      </c>
      <c r="C43" t="s">
        <v>7</v>
      </c>
      <c r="D43">
        <v>4</v>
      </c>
      <c r="E43">
        <v>2</v>
      </c>
      <c r="H43" t="s">
        <v>14</v>
      </c>
      <c r="I43" t="s">
        <v>40</v>
      </c>
      <c r="J43" t="s">
        <v>13</v>
      </c>
      <c r="K43">
        <v>1</v>
      </c>
      <c r="M43">
        <v>13</v>
      </c>
    </row>
    <row r="44" spans="1:13" x14ac:dyDescent="0.3">
      <c r="A44" t="s">
        <v>20</v>
      </c>
      <c r="B44" t="s">
        <v>57</v>
      </c>
      <c r="C44" t="s">
        <v>7</v>
      </c>
      <c r="D44">
        <v>4</v>
      </c>
      <c r="E44">
        <v>3</v>
      </c>
      <c r="H44" t="s">
        <v>14</v>
      </c>
      <c r="I44" t="s">
        <v>41</v>
      </c>
      <c r="J44" t="s">
        <v>27</v>
      </c>
      <c r="K44">
        <v>8</v>
      </c>
      <c r="M44">
        <v>14</v>
      </c>
    </row>
    <row r="45" spans="1:13" x14ac:dyDescent="0.3">
      <c r="A45" t="s">
        <v>20</v>
      </c>
      <c r="B45" t="s">
        <v>58</v>
      </c>
      <c r="C45" t="s">
        <v>7</v>
      </c>
      <c r="D45">
        <v>4</v>
      </c>
      <c r="E45">
        <v>4</v>
      </c>
      <c r="H45" t="s">
        <v>14</v>
      </c>
      <c r="I45" t="s">
        <v>42</v>
      </c>
      <c r="J45" t="s">
        <v>13</v>
      </c>
      <c r="K45">
        <v>1</v>
      </c>
      <c r="M45">
        <v>15</v>
      </c>
    </row>
    <row r="46" spans="1:13" x14ac:dyDescent="0.3">
      <c r="A46" t="s">
        <v>20</v>
      </c>
      <c r="B46" t="s">
        <v>59</v>
      </c>
      <c r="C46" t="s">
        <v>9</v>
      </c>
      <c r="D46">
        <v>100</v>
      </c>
      <c r="E46">
        <v>5</v>
      </c>
      <c r="H46" t="s">
        <v>14</v>
      </c>
      <c r="I46" t="s">
        <v>43</v>
      </c>
      <c r="J46" t="s">
        <v>9</v>
      </c>
      <c r="K46">
        <v>200</v>
      </c>
      <c r="M46">
        <v>16</v>
      </c>
    </row>
    <row r="47" spans="1:13" x14ac:dyDescent="0.3">
      <c r="A47" t="s">
        <v>20</v>
      </c>
      <c r="B47" t="s">
        <v>60</v>
      </c>
      <c r="C47" t="s">
        <v>7</v>
      </c>
      <c r="D47">
        <v>4</v>
      </c>
      <c r="E47">
        <v>6</v>
      </c>
      <c r="H47" t="s">
        <v>14</v>
      </c>
      <c r="I47" t="s">
        <v>44</v>
      </c>
      <c r="J47" t="s">
        <v>27</v>
      </c>
      <c r="K47">
        <v>8</v>
      </c>
      <c r="M47">
        <v>17</v>
      </c>
    </row>
    <row r="48" spans="1:13" x14ac:dyDescent="0.3">
      <c r="A48" t="s">
        <v>20</v>
      </c>
      <c r="B48" t="s">
        <v>61</v>
      </c>
      <c r="C48" t="s">
        <v>9</v>
      </c>
      <c r="D48">
        <v>510</v>
      </c>
      <c r="E48">
        <v>7</v>
      </c>
      <c r="H48" t="s">
        <v>14</v>
      </c>
      <c r="I48" t="s">
        <v>45</v>
      </c>
      <c r="J48" t="s">
        <v>13</v>
      </c>
      <c r="K48">
        <v>1</v>
      </c>
      <c r="M48">
        <v>18</v>
      </c>
    </row>
    <row r="49" spans="1:13" x14ac:dyDescent="0.3">
      <c r="A49" t="s">
        <v>22</v>
      </c>
      <c r="B49" t="s">
        <v>6</v>
      </c>
      <c r="C49" t="s">
        <v>7</v>
      </c>
      <c r="D49">
        <v>4</v>
      </c>
      <c r="E49">
        <v>1</v>
      </c>
      <c r="H49" t="s">
        <v>16</v>
      </c>
      <c r="I49" t="s">
        <v>6</v>
      </c>
      <c r="J49" t="s">
        <v>7</v>
      </c>
      <c r="K49">
        <v>4</v>
      </c>
      <c r="M49">
        <v>1</v>
      </c>
    </row>
    <row r="50" spans="1:13" x14ac:dyDescent="0.3">
      <c r="A50" t="s">
        <v>22</v>
      </c>
      <c r="B50" t="s">
        <v>62</v>
      </c>
      <c r="C50" t="s">
        <v>9</v>
      </c>
      <c r="D50">
        <v>100</v>
      </c>
      <c r="E50">
        <v>2</v>
      </c>
      <c r="H50" t="s">
        <v>16</v>
      </c>
      <c r="I50" t="s">
        <v>30</v>
      </c>
      <c r="J50" t="s">
        <v>7</v>
      </c>
      <c r="K50">
        <v>4</v>
      </c>
      <c r="M50">
        <v>2</v>
      </c>
    </row>
    <row r="51" spans="1:13" x14ac:dyDescent="0.3">
      <c r="A51" t="s">
        <v>22</v>
      </c>
      <c r="B51" t="s">
        <v>63</v>
      </c>
      <c r="C51" t="s">
        <v>7</v>
      </c>
      <c r="D51">
        <v>4</v>
      </c>
      <c r="E51">
        <v>3</v>
      </c>
      <c r="H51" t="s">
        <v>16</v>
      </c>
      <c r="I51" t="s">
        <v>29</v>
      </c>
      <c r="J51" t="s">
        <v>7</v>
      </c>
      <c r="K51">
        <v>4</v>
      </c>
      <c r="M51">
        <v>3</v>
      </c>
    </row>
    <row r="52" spans="1:13" x14ac:dyDescent="0.3">
      <c r="A52" t="s">
        <v>22</v>
      </c>
      <c r="B52" t="s">
        <v>64</v>
      </c>
      <c r="C52" t="s">
        <v>9</v>
      </c>
      <c r="D52">
        <v>200</v>
      </c>
      <c r="E52">
        <v>4</v>
      </c>
      <c r="H52" t="s">
        <v>16</v>
      </c>
      <c r="I52" t="s">
        <v>46</v>
      </c>
      <c r="J52" t="s">
        <v>9</v>
      </c>
      <c r="K52">
        <v>510</v>
      </c>
      <c r="M52">
        <v>4</v>
      </c>
    </row>
    <row r="53" spans="1:13" x14ac:dyDescent="0.3">
      <c r="A53" t="s">
        <v>22</v>
      </c>
      <c r="B53" t="s">
        <v>65</v>
      </c>
      <c r="C53" t="s">
        <v>9</v>
      </c>
      <c r="D53">
        <v>100</v>
      </c>
      <c r="E53">
        <v>5</v>
      </c>
      <c r="H53" t="s">
        <v>16</v>
      </c>
      <c r="I53" t="s">
        <v>47</v>
      </c>
      <c r="J53" t="s">
        <v>9</v>
      </c>
      <c r="K53">
        <v>510</v>
      </c>
      <c r="M53">
        <v>5</v>
      </c>
    </row>
    <row r="54" spans="1:13" x14ac:dyDescent="0.3">
      <c r="A54" t="s">
        <v>22</v>
      </c>
      <c r="B54" t="s">
        <v>66</v>
      </c>
      <c r="C54" t="s">
        <v>9</v>
      </c>
      <c r="D54">
        <v>30</v>
      </c>
      <c r="E54">
        <v>6</v>
      </c>
      <c r="H54" t="s">
        <v>16</v>
      </c>
      <c r="I54" t="s">
        <v>48</v>
      </c>
      <c r="J54" t="s">
        <v>7</v>
      </c>
      <c r="K54">
        <v>4</v>
      </c>
      <c r="M54">
        <v>6</v>
      </c>
    </row>
    <row r="55" spans="1:13" x14ac:dyDescent="0.3">
      <c r="A55" t="s">
        <v>22</v>
      </c>
      <c r="B55" t="s">
        <v>67</v>
      </c>
      <c r="C55" t="s">
        <v>9</v>
      </c>
      <c r="D55">
        <v>8</v>
      </c>
      <c r="E55">
        <v>7</v>
      </c>
      <c r="H55" t="s">
        <v>16</v>
      </c>
      <c r="I55" t="s">
        <v>49</v>
      </c>
      <c r="J55" t="s">
        <v>9</v>
      </c>
      <c r="K55">
        <v>20</v>
      </c>
      <c r="M55">
        <v>7</v>
      </c>
    </row>
    <row r="56" spans="1:13" x14ac:dyDescent="0.3">
      <c r="A56" t="s">
        <v>22</v>
      </c>
      <c r="B56" t="s">
        <v>68</v>
      </c>
      <c r="C56" t="s">
        <v>7</v>
      </c>
      <c r="D56">
        <v>4</v>
      </c>
      <c r="E56">
        <v>8</v>
      </c>
      <c r="H56" t="s">
        <v>16</v>
      </c>
      <c r="I56" t="s">
        <v>50</v>
      </c>
      <c r="J56" t="s">
        <v>7</v>
      </c>
      <c r="K56">
        <v>4</v>
      </c>
      <c r="M56">
        <v>8</v>
      </c>
    </row>
    <row r="57" spans="1:13" x14ac:dyDescent="0.3">
      <c r="A57" t="s">
        <v>22</v>
      </c>
      <c r="B57" t="s">
        <v>11</v>
      </c>
      <c r="C57" t="s">
        <v>9</v>
      </c>
      <c r="D57">
        <v>200</v>
      </c>
      <c r="E57">
        <v>9</v>
      </c>
      <c r="H57" t="s">
        <v>16</v>
      </c>
      <c r="I57" t="s">
        <v>51</v>
      </c>
      <c r="J57" t="s">
        <v>7</v>
      </c>
      <c r="K57">
        <v>4</v>
      </c>
      <c r="M57">
        <v>9</v>
      </c>
    </row>
    <row r="58" spans="1:13" x14ac:dyDescent="0.3">
      <c r="A58" t="s">
        <v>22</v>
      </c>
      <c r="B58" t="s">
        <v>69</v>
      </c>
      <c r="C58" t="s">
        <v>9</v>
      </c>
      <c r="D58">
        <v>200</v>
      </c>
      <c r="E58">
        <v>10</v>
      </c>
      <c r="H58" t="s">
        <v>16</v>
      </c>
      <c r="I58" t="s">
        <v>52</v>
      </c>
      <c r="J58" t="s">
        <v>9</v>
      </c>
      <c r="K58">
        <v>20</v>
      </c>
      <c r="M58">
        <v>10</v>
      </c>
    </row>
    <row r="59" spans="1:13" x14ac:dyDescent="0.3">
      <c r="A59" t="s">
        <v>22</v>
      </c>
      <c r="B59" t="s">
        <v>70</v>
      </c>
      <c r="C59" t="s">
        <v>9</v>
      </c>
      <c r="D59">
        <v>200</v>
      </c>
      <c r="E59">
        <v>11</v>
      </c>
      <c r="H59" t="s">
        <v>18</v>
      </c>
      <c r="I59" t="s">
        <v>6</v>
      </c>
      <c r="J59" t="s">
        <v>7</v>
      </c>
      <c r="K59">
        <v>4</v>
      </c>
      <c r="M59">
        <v>1</v>
      </c>
    </row>
    <row r="60" spans="1:13" x14ac:dyDescent="0.3">
      <c r="A60" t="s">
        <v>22</v>
      </c>
      <c r="B60" t="s">
        <v>71</v>
      </c>
      <c r="C60" t="s">
        <v>9</v>
      </c>
      <c r="D60">
        <v>100</v>
      </c>
      <c r="E60">
        <v>12</v>
      </c>
      <c r="H60" t="s">
        <v>18</v>
      </c>
      <c r="I60" t="s">
        <v>16</v>
      </c>
      <c r="J60" t="s">
        <v>7</v>
      </c>
      <c r="K60">
        <v>4</v>
      </c>
      <c r="M60">
        <v>2</v>
      </c>
    </row>
    <row r="61" spans="1:13" x14ac:dyDescent="0.3">
      <c r="A61" t="s">
        <v>22</v>
      </c>
      <c r="B61" t="s">
        <v>72</v>
      </c>
      <c r="C61" t="s">
        <v>9</v>
      </c>
      <c r="D61">
        <v>450</v>
      </c>
      <c r="E61">
        <v>13</v>
      </c>
      <c r="H61" t="s">
        <v>18</v>
      </c>
      <c r="I61" t="s">
        <v>53</v>
      </c>
      <c r="J61" t="s">
        <v>54</v>
      </c>
      <c r="K61">
        <v>8</v>
      </c>
      <c r="M61">
        <v>3</v>
      </c>
    </row>
    <row r="62" spans="1:13" x14ac:dyDescent="0.3">
      <c r="A62" t="s">
        <v>22</v>
      </c>
      <c r="B62" t="s">
        <v>73</v>
      </c>
      <c r="C62" t="s">
        <v>7</v>
      </c>
      <c r="D62">
        <v>4</v>
      </c>
      <c r="E62">
        <v>14</v>
      </c>
      <c r="H62" t="s">
        <v>18</v>
      </c>
      <c r="I62" t="s">
        <v>55</v>
      </c>
      <c r="J62" t="s">
        <v>54</v>
      </c>
      <c r="K62">
        <v>8</v>
      </c>
      <c r="M62">
        <v>4</v>
      </c>
    </row>
    <row r="63" spans="1:13" x14ac:dyDescent="0.3">
      <c r="A63" t="s">
        <v>22</v>
      </c>
      <c r="B63" t="s">
        <v>74</v>
      </c>
      <c r="C63" t="s">
        <v>7</v>
      </c>
      <c r="D63">
        <v>4</v>
      </c>
      <c r="E63">
        <v>15</v>
      </c>
      <c r="H63" t="s">
        <v>20</v>
      </c>
      <c r="I63" t="s">
        <v>6</v>
      </c>
      <c r="J63" t="s">
        <v>7</v>
      </c>
      <c r="K63">
        <v>4</v>
      </c>
      <c r="M63">
        <v>1</v>
      </c>
    </row>
    <row r="64" spans="1:13" x14ac:dyDescent="0.3">
      <c r="A64" t="s">
        <v>22</v>
      </c>
      <c r="B64" t="s">
        <v>75</v>
      </c>
      <c r="C64" t="s">
        <v>7</v>
      </c>
      <c r="D64">
        <v>4</v>
      </c>
      <c r="E64">
        <v>16</v>
      </c>
      <c r="H64" t="s">
        <v>20</v>
      </c>
      <c r="I64" t="s">
        <v>56</v>
      </c>
      <c r="J64" t="s">
        <v>7</v>
      </c>
      <c r="K64">
        <v>4</v>
      </c>
      <c r="M64">
        <v>2</v>
      </c>
    </row>
    <row r="65" spans="1:13" x14ac:dyDescent="0.3">
      <c r="A65" t="s">
        <v>22</v>
      </c>
      <c r="B65" t="s">
        <v>76</v>
      </c>
      <c r="C65" t="s">
        <v>9</v>
      </c>
      <c r="D65">
        <v>200</v>
      </c>
      <c r="E65">
        <v>17</v>
      </c>
      <c r="H65" t="s">
        <v>20</v>
      </c>
      <c r="I65" t="s">
        <v>57</v>
      </c>
      <c r="J65" t="s">
        <v>7</v>
      </c>
      <c r="K65">
        <v>4</v>
      </c>
      <c r="M65">
        <v>3</v>
      </c>
    </row>
    <row r="66" spans="1:13" x14ac:dyDescent="0.3">
      <c r="A66" t="s">
        <v>22</v>
      </c>
      <c r="B66" t="s">
        <v>77</v>
      </c>
      <c r="C66" t="s">
        <v>9</v>
      </c>
      <c r="D66">
        <v>510</v>
      </c>
      <c r="E66">
        <v>18</v>
      </c>
      <c r="H66" t="s">
        <v>20</v>
      </c>
      <c r="I66" t="s">
        <v>58</v>
      </c>
      <c r="J66" t="s">
        <v>7</v>
      </c>
      <c r="K66">
        <v>4</v>
      </c>
      <c r="M66">
        <v>4</v>
      </c>
    </row>
    <row r="67" spans="1:13" x14ac:dyDescent="0.3">
      <c r="A67" t="s">
        <v>22</v>
      </c>
      <c r="B67" t="s">
        <v>78</v>
      </c>
      <c r="C67" t="s">
        <v>13</v>
      </c>
      <c r="D67">
        <v>1</v>
      </c>
      <c r="E67">
        <v>19</v>
      </c>
      <c r="H67" t="s">
        <v>20</v>
      </c>
      <c r="I67" t="s">
        <v>59</v>
      </c>
      <c r="J67" t="s">
        <v>9</v>
      </c>
      <c r="K67">
        <v>100</v>
      </c>
      <c r="M67">
        <v>5</v>
      </c>
    </row>
    <row r="68" spans="1:13" x14ac:dyDescent="0.3">
      <c r="A68" t="s">
        <v>22</v>
      </c>
      <c r="B68" t="s">
        <v>79</v>
      </c>
      <c r="C68" t="s">
        <v>13</v>
      </c>
      <c r="D68">
        <v>1</v>
      </c>
      <c r="E68">
        <v>20</v>
      </c>
      <c r="H68" t="s">
        <v>20</v>
      </c>
      <c r="I68" t="s">
        <v>60</v>
      </c>
      <c r="J68" t="s">
        <v>7</v>
      </c>
      <c r="K68">
        <v>4</v>
      </c>
      <c r="M68">
        <v>6</v>
      </c>
    </row>
    <row r="69" spans="1:13" x14ac:dyDescent="0.3">
      <c r="A69" t="s">
        <v>22</v>
      </c>
      <c r="B69" t="s">
        <v>80</v>
      </c>
      <c r="C69" t="s">
        <v>27</v>
      </c>
      <c r="D69">
        <v>8</v>
      </c>
      <c r="E69">
        <v>21</v>
      </c>
      <c r="H69" t="s">
        <v>20</v>
      </c>
      <c r="I69" t="s">
        <v>61</v>
      </c>
      <c r="J69" t="s">
        <v>9</v>
      </c>
      <c r="K69">
        <v>510</v>
      </c>
      <c r="M69">
        <v>7</v>
      </c>
    </row>
    <row r="70" spans="1:13" x14ac:dyDescent="0.3">
      <c r="A70" t="s">
        <v>22</v>
      </c>
      <c r="B70" t="s">
        <v>81</v>
      </c>
      <c r="C70" t="s">
        <v>27</v>
      </c>
      <c r="D70">
        <v>8</v>
      </c>
      <c r="E70">
        <v>22</v>
      </c>
      <c r="H70" t="s">
        <v>22</v>
      </c>
      <c r="I70" t="s">
        <v>6</v>
      </c>
      <c r="J70" t="s">
        <v>7</v>
      </c>
      <c r="K70">
        <v>4</v>
      </c>
      <c r="M70">
        <v>1</v>
      </c>
    </row>
    <row r="71" spans="1:13" x14ac:dyDescent="0.3">
      <c r="A71" t="s">
        <v>22</v>
      </c>
      <c r="B71" t="s">
        <v>82</v>
      </c>
      <c r="C71" t="s">
        <v>7</v>
      </c>
      <c r="D71">
        <v>4</v>
      </c>
      <c r="E71">
        <v>23</v>
      </c>
      <c r="H71" t="s">
        <v>22</v>
      </c>
      <c r="I71" t="s">
        <v>62</v>
      </c>
      <c r="J71" t="s">
        <v>9</v>
      </c>
      <c r="K71">
        <v>100</v>
      </c>
      <c r="M71">
        <v>2</v>
      </c>
    </row>
    <row r="72" spans="1:13" x14ac:dyDescent="0.3">
      <c r="A72" t="s">
        <v>22</v>
      </c>
      <c r="B72" t="s">
        <v>83</v>
      </c>
      <c r="C72" t="s">
        <v>7</v>
      </c>
      <c r="D72">
        <v>4</v>
      </c>
      <c r="E72">
        <v>24</v>
      </c>
      <c r="H72" t="s">
        <v>22</v>
      </c>
      <c r="I72" t="s">
        <v>63</v>
      </c>
      <c r="J72" t="s">
        <v>7</v>
      </c>
      <c r="K72">
        <v>4</v>
      </c>
      <c r="M72">
        <v>3</v>
      </c>
    </row>
    <row r="73" spans="1:13" x14ac:dyDescent="0.3">
      <c r="A73" t="s">
        <v>23</v>
      </c>
      <c r="B73" t="s">
        <v>6</v>
      </c>
      <c r="C73" t="s">
        <v>7</v>
      </c>
      <c r="D73">
        <v>4</v>
      </c>
      <c r="E73">
        <v>1</v>
      </c>
      <c r="H73" t="s">
        <v>22</v>
      </c>
      <c r="I73" t="s">
        <v>64</v>
      </c>
      <c r="J73" t="s">
        <v>9</v>
      </c>
      <c r="K73">
        <v>200</v>
      </c>
      <c r="M73">
        <v>4</v>
      </c>
    </row>
    <row r="74" spans="1:13" x14ac:dyDescent="0.3">
      <c r="A74" t="s">
        <v>23</v>
      </c>
      <c r="B74" t="s">
        <v>84</v>
      </c>
      <c r="C74" t="s">
        <v>27</v>
      </c>
      <c r="D74">
        <v>8</v>
      </c>
      <c r="E74">
        <v>2</v>
      </c>
      <c r="H74" t="s">
        <v>22</v>
      </c>
      <c r="I74" t="s">
        <v>65</v>
      </c>
      <c r="J74" t="s">
        <v>9</v>
      </c>
      <c r="K74">
        <v>100</v>
      </c>
      <c r="M74">
        <v>5</v>
      </c>
    </row>
    <row r="75" spans="1:13" x14ac:dyDescent="0.3">
      <c r="A75" t="s">
        <v>23</v>
      </c>
      <c r="B75" t="s">
        <v>85</v>
      </c>
      <c r="C75" t="s">
        <v>7</v>
      </c>
      <c r="D75">
        <v>4</v>
      </c>
      <c r="E75">
        <v>3</v>
      </c>
      <c r="H75" t="s">
        <v>22</v>
      </c>
      <c r="I75" t="s">
        <v>66</v>
      </c>
      <c r="J75" t="s">
        <v>9</v>
      </c>
      <c r="K75">
        <v>30</v>
      </c>
      <c r="M75">
        <v>6</v>
      </c>
    </row>
    <row r="76" spans="1:13" x14ac:dyDescent="0.3">
      <c r="A76" t="s">
        <v>23</v>
      </c>
      <c r="B76" t="s">
        <v>86</v>
      </c>
      <c r="C76" t="s">
        <v>9</v>
      </c>
      <c r="D76">
        <v>200</v>
      </c>
      <c r="E76">
        <v>4</v>
      </c>
      <c r="H76" t="s">
        <v>22</v>
      </c>
      <c r="I76" t="s">
        <v>67</v>
      </c>
      <c r="J76" t="s">
        <v>9</v>
      </c>
      <c r="K76">
        <v>8</v>
      </c>
      <c r="M76">
        <v>7</v>
      </c>
    </row>
    <row r="77" spans="1:13" x14ac:dyDescent="0.3">
      <c r="A77" t="s">
        <v>23</v>
      </c>
      <c r="B77" t="s">
        <v>87</v>
      </c>
      <c r="C77" t="s">
        <v>88</v>
      </c>
      <c r="D77">
        <v>2</v>
      </c>
      <c r="E77">
        <v>5</v>
      </c>
      <c r="H77" t="s">
        <v>22</v>
      </c>
      <c r="I77" t="s">
        <v>68</v>
      </c>
      <c r="J77" t="s">
        <v>7</v>
      </c>
      <c r="K77">
        <v>4</v>
      </c>
      <c r="M77">
        <v>8</v>
      </c>
    </row>
    <row r="78" spans="1:13" x14ac:dyDescent="0.3">
      <c r="A78" t="s">
        <v>23</v>
      </c>
      <c r="B78" t="s">
        <v>5</v>
      </c>
      <c r="C78" t="s">
        <v>7</v>
      </c>
      <c r="D78">
        <v>4</v>
      </c>
      <c r="E78">
        <v>6</v>
      </c>
      <c r="H78" t="s">
        <v>22</v>
      </c>
      <c r="I78" t="s">
        <v>11</v>
      </c>
      <c r="J78" t="s">
        <v>9</v>
      </c>
      <c r="K78">
        <v>200</v>
      </c>
      <c r="M78">
        <v>9</v>
      </c>
    </row>
    <row r="79" spans="1:13" x14ac:dyDescent="0.3">
      <c r="A79" t="s">
        <v>23</v>
      </c>
      <c r="B79" t="s">
        <v>56</v>
      </c>
      <c r="C79" t="s">
        <v>7</v>
      </c>
      <c r="D79">
        <v>4</v>
      </c>
      <c r="E79">
        <v>7</v>
      </c>
      <c r="H79" t="s">
        <v>22</v>
      </c>
      <c r="I79" t="s">
        <v>69</v>
      </c>
      <c r="J79" t="s">
        <v>9</v>
      </c>
      <c r="K79">
        <v>200</v>
      </c>
      <c r="M79">
        <v>10</v>
      </c>
    </row>
    <row r="80" spans="1:13" x14ac:dyDescent="0.3">
      <c r="A80" t="s">
        <v>23</v>
      </c>
      <c r="B80" t="s">
        <v>89</v>
      </c>
      <c r="C80" t="s">
        <v>13</v>
      </c>
      <c r="D80">
        <v>1</v>
      </c>
      <c r="E80">
        <v>8</v>
      </c>
      <c r="H80" t="s">
        <v>22</v>
      </c>
      <c r="I80" t="s">
        <v>70</v>
      </c>
      <c r="J80" t="s">
        <v>9</v>
      </c>
      <c r="K80">
        <v>200</v>
      </c>
      <c r="M80">
        <v>11</v>
      </c>
    </row>
    <row r="81" spans="1:13" x14ac:dyDescent="0.3">
      <c r="A81" t="s">
        <v>23</v>
      </c>
      <c r="B81" t="s">
        <v>90</v>
      </c>
      <c r="C81" t="s">
        <v>27</v>
      </c>
      <c r="D81">
        <v>8</v>
      </c>
      <c r="E81">
        <v>9</v>
      </c>
      <c r="H81" t="s">
        <v>22</v>
      </c>
      <c r="I81" t="s">
        <v>71</v>
      </c>
      <c r="J81" t="s">
        <v>9</v>
      </c>
      <c r="K81">
        <v>100</v>
      </c>
      <c r="M81">
        <v>12</v>
      </c>
    </row>
    <row r="82" spans="1:13" x14ac:dyDescent="0.3">
      <c r="A82" t="s">
        <v>23</v>
      </c>
      <c r="B82" t="s">
        <v>91</v>
      </c>
      <c r="C82" t="s">
        <v>27</v>
      </c>
      <c r="D82">
        <v>8</v>
      </c>
      <c r="E82">
        <v>10</v>
      </c>
      <c r="H82" t="s">
        <v>22</v>
      </c>
      <c r="I82" t="s">
        <v>72</v>
      </c>
      <c r="J82" t="s">
        <v>9</v>
      </c>
      <c r="K82">
        <v>450</v>
      </c>
      <c r="M82">
        <v>13</v>
      </c>
    </row>
    <row r="83" spans="1:13" x14ac:dyDescent="0.3">
      <c r="A83" t="s">
        <v>23</v>
      </c>
      <c r="B83" t="s">
        <v>92</v>
      </c>
      <c r="C83" t="s">
        <v>27</v>
      </c>
      <c r="D83">
        <v>8</v>
      </c>
      <c r="E83">
        <v>11</v>
      </c>
      <c r="H83" t="s">
        <v>22</v>
      </c>
      <c r="I83" t="s">
        <v>73</v>
      </c>
      <c r="J83" t="s">
        <v>7</v>
      </c>
      <c r="K83">
        <v>4</v>
      </c>
      <c r="M83">
        <v>14</v>
      </c>
    </row>
    <row r="84" spans="1:13" x14ac:dyDescent="0.3">
      <c r="A84" t="s">
        <v>25</v>
      </c>
      <c r="B84" t="s">
        <v>6</v>
      </c>
      <c r="C84" t="s">
        <v>7</v>
      </c>
      <c r="D84">
        <v>4</v>
      </c>
      <c r="E84">
        <v>1</v>
      </c>
      <c r="H84" t="s">
        <v>22</v>
      </c>
      <c r="I84" t="s">
        <v>74</v>
      </c>
      <c r="J84" t="s">
        <v>7</v>
      </c>
      <c r="K84">
        <v>4</v>
      </c>
      <c r="M84">
        <v>15</v>
      </c>
    </row>
    <row r="85" spans="1:13" x14ac:dyDescent="0.3">
      <c r="A85" t="s">
        <v>25</v>
      </c>
      <c r="B85" t="s">
        <v>57</v>
      </c>
      <c r="C85" t="s">
        <v>7</v>
      </c>
      <c r="D85">
        <v>4</v>
      </c>
      <c r="E85">
        <v>2</v>
      </c>
      <c r="H85" t="s">
        <v>22</v>
      </c>
      <c r="I85" t="s">
        <v>75</v>
      </c>
      <c r="J85" t="s">
        <v>7</v>
      </c>
      <c r="K85">
        <v>4</v>
      </c>
      <c r="M85">
        <v>16</v>
      </c>
    </row>
    <row r="86" spans="1:13" x14ac:dyDescent="0.3">
      <c r="A86" t="s">
        <v>25</v>
      </c>
      <c r="B86" t="s">
        <v>93</v>
      </c>
      <c r="C86" t="s">
        <v>7</v>
      </c>
      <c r="D86">
        <v>4</v>
      </c>
      <c r="E86">
        <v>3</v>
      </c>
      <c r="H86" t="s">
        <v>22</v>
      </c>
      <c r="I86" t="s">
        <v>76</v>
      </c>
      <c r="J86" t="s">
        <v>9</v>
      </c>
      <c r="K86">
        <v>200</v>
      </c>
      <c r="M86">
        <v>17</v>
      </c>
    </row>
    <row r="87" spans="1:13" x14ac:dyDescent="0.3">
      <c r="A87" t="s">
        <v>25</v>
      </c>
      <c r="B87" t="s">
        <v>11</v>
      </c>
      <c r="C87" t="s">
        <v>9</v>
      </c>
      <c r="D87">
        <v>200</v>
      </c>
      <c r="E87">
        <v>4</v>
      </c>
      <c r="H87" t="s">
        <v>22</v>
      </c>
      <c r="I87" t="s">
        <v>77</v>
      </c>
      <c r="J87" t="s">
        <v>9</v>
      </c>
      <c r="K87">
        <v>510</v>
      </c>
      <c r="M87">
        <v>18</v>
      </c>
    </row>
    <row r="88" spans="1:13" x14ac:dyDescent="0.3">
      <c r="A88" t="s">
        <v>25</v>
      </c>
      <c r="B88" t="s">
        <v>94</v>
      </c>
      <c r="C88" t="s">
        <v>9</v>
      </c>
      <c r="D88">
        <v>50</v>
      </c>
      <c r="E88">
        <v>5</v>
      </c>
      <c r="H88" t="s">
        <v>22</v>
      </c>
      <c r="I88" t="s">
        <v>78</v>
      </c>
      <c r="J88" t="s">
        <v>13</v>
      </c>
      <c r="K88">
        <v>1</v>
      </c>
      <c r="M88">
        <v>19</v>
      </c>
    </row>
    <row r="89" spans="1:13" x14ac:dyDescent="0.3">
      <c r="A89" t="s">
        <v>25</v>
      </c>
      <c r="B89" t="s">
        <v>40</v>
      </c>
      <c r="C89" t="s">
        <v>13</v>
      </c>
      <c r="D89">
        <v>1</v>
      </c>
      <c r="E89">
        <v>6</v>
      </c>
      <c r="H89" t="s">
        <v>22</v>
      </c>
      <c r="I89" t="s">
        <v>79</v>
      </c>
      <c r="J89" t="s">
        <v>13</v>
      </c>
      <c r="K89">
        <v>1</v>
      </c>
      <c r="M89">
        <v>20</v>
      </c>
    </row>
    <row r="90" spans="1:13" x14ac:dyDescent="0.3">
      <c r="A90" t="s">
        <v>25</v>
      </c>
      <c r="B90" t="s">
        <v>95</v>
      </c>
      <c r="C90" t="s">
        <v>7</v>
      </c>
      <c r="D90">
        <v>4</v>
      </c>
      <c r="E90">
        <v>7</v>
      </c>
      <c r="H90" t="s">
        <v>22</v>
      </c>
      <c r="I90" t="s">
        <v>80</v>
      </c>
      <c r="J90" t="s">
        <v>27</v>
      </c>
      <c r="K90">
        <v>8</v>
      </c>
      <c r="M90">
        <v>21</v>
      </c>
    </row>
    <row r="91" spans="1:13" x14ac:dyDescent="0.3">
      <c r="A91" t="s">
        <v>25</v>
      </c>
      <c r="B91" t="s">
        <v>96</v>
      </c>
      <c r="C91" t="s">
        <v>27</v>
      </c>
      <c r="D91">
        <v>8</v>
      </c>
      <c r="E91">
        <v>8</v>
      </c>
      <c r="H91" t="s">
        <v>22</v>
      </c>
      <c r="I91" t="s">
        <v>81</v>
      </c>
      <c r="J91" t="s">
        <v>27</v>
      </c>
      <c r="K91">
        <v>8</v>
      </c>
      <c r="M91">
        <v>22</v>
      </c>
    </row>
    <row r="92" spans="1:13" x14ac:dyDescent="0.3">
      <c r="A92" t="s">
        <v>25</v>
      </c>
      <c r="B92" t="s">
        <v>90</v>
      </c>
      <c r="C92" t="s">
        <v>27</v>
      </c>
      <c r="D92">
        <v>8</v>
      </c>
      <c r="E92">
        <v>9</v>
      </c>
      <c r="H92" t="s">
        <v>22</v>
      </c>
      <c r="I92" t="s">
        <v>82</v>
      </c>
      <c r="J92" t="s">
        <v>7</v>
      </c>
      <c r="K92">
        <v>4</v>
      </c>
      <c r="M92">
        <v>23</v>
      </c>
    </row>
    <row r="93" spans="1:13" x14ac:dyDescent="0.3">
      <c r="A93" t="s">
        <v>28</v>
      </c>
      <c r="B93" t="s">
        <v>6</v>
      </c>
      <c r="C93" t="s">
        <v>7</v>
      </c>
      <c r="D93">
        <v>4</v>
      </c>
      <c r="E93">
        <v>1</v>
      </c>
      <c r="H93" t="s">
        <v>22</v>
      </c>
      <c r="I93" t="s">
        <v>83</v>
      </c>
      <c r="J93" t="s">
        <v>7</v>
      </c>
      <c r="K93">
        <v>4</v>
      </c>
      <c r="M93">
        <v>24</v>
      </c>
    </row>
    <row r="94" spans="1:13" x14ac:dyDescent="0.3">
      <c r="A94" t="s">
        <v>28</v>
      </c>
      <c r="B94" t="s">
        <v>97</v>
      </c>
      <c r="C94" t="s">
        <v>7</v>
      </c>
      <c r="D94">
        <v>4</v>
      </c>
      <c r="E94">
        <v>2</v>
      </c>
      <c r="H94" t="s">
        <v>23</v>
      </c>
      <c r="I94" t="s">
        <v>6</v>
      </c>
      <c r="J94" t="s">
        <v>7</v>
      </c>
      <c r="K94">
        <v>4</v>
      </c>
      <c r="M94">
        <v>1</v>
      </c>
    </row>
    <row r="95" spans="1:13" x14ac:dyDescent="0.3">
      <c r="A95" t="s">
        <v>28</v>
      </c>
      <c r="B95" t="s">
        <v>98</v>
      </c>
      <c r="C95" t="s">
        <v>7</v>
      </c>
      <c r="D95">
        <v>4</v>
      </c>
      <c r="E95">
        <v>3</v>
      </c>
      <c r="H95" t="s">
        <v>23</v>
      </c>
      <c r="I95" t="s">
        <v>84</v>
      </c>
      <c r="J95" t="s">
        <v>27</v>
      </c>
      <c r="K95">
        <v>8</v>
      </c>
      <c r="M95">
        <v>2</v>
      </c>
    </row>
    <row r="96" spans="1:13" x14ac:dyDescent="0.3">
      <c r="A96" t="s">
        <v>28</v>
      </c>
      <c r="B96" t="s">
        <v>55</v>
      </c>
      <c r="C96" t="s">
        <v>54</v>
      </c>
      <c r="D96">
        <v>8</v>
      </c>
      <c r="E96">
        <v>4</v>
      </c>
      <c r="H96" t="s">
        <v>23</v>
      </c>
      <c r="I96" t="s">
        <v>85</v>
      </c>
      <c r="J96" t="s">
        <v>7</v>
      </c>
      <c r="K96">
        <v>4</v>
      </c>
      <c r="M96">
        <v>3</v>
      </c>
    </row>
    <row r="97" spans="1:13" x14ac:dyDescent="0.3">
      <c r="A97" t="s">
        <v>28</v>
      </c>
      <c r="B97" t="s">
        <v>99</v>
      </c>
      <c r="C97" t="s">
        <v>54</v>
      </c>
      <c r="D97">
        <v>8</v>
      </c>
      <c r="E97">
        <v>5</v>
      </c>
      <c r="H97" t="s">
        <v>23</v>
      </c>
      <c r="I97" t="s">
        <v>86</v>
      </c>
      <c r="J97" t="s">
        <v>9</v>
      </c>
      <c r="K97">
        <v>200</v>
      </c>
      <c r="M97">
        <v>4</v>
      </c>
    </row>
    <row r="98" spans="1:13" x14ac:dyDescent="0.3">
      <c r="A98" t="s">
        <v>28</v>
      </c>
      <c r="B98" t="s">
        <v>100</v>
      </c>
      <c r="C98" t="s">
        <v>54</v>
      </c>
      <c r="D98">
        <v>8</v>
      </c>
      <c r="E98">
        <v>6</v>
      </c>
      <c r="H98" t="s">
        <v>23</v>
      </c>
      <c r="I98" t="s">
        <v>87</v>
      </c>
      <c r="J98" t="s">
        <v>88</v>
      </c>
      <c r="K98">
        <v>2</v>
      </c>
      <c r="M98">
        <v>5</v>
      </c>
    </row>
    <row r="99" spans="1:13" x14ac:dyDescent="0.3">
      <c r="A99" t="s">
        <v>28</v>
      </c>
      <c r="B99" t="s">
        <v>101</v>
      </c>
      <c r="C99" t="s">
        <v>54</v>
      </c>
      <c r="D99">
        <v>8</v>
      </c>
      <c r="E99">
        <v>7</v>
      </c>
      <c r="H99" t="s">
        <v>23</v>
      </c>
      <c r="I99" t="s">
        <v>5</v>
      </c>
      <c r="J99" t="s">
        <v>7</v>
      </c>
      <c r="K99">
        <v>4</v>
      </c>
      <c r="M99">
        <v>6</v>
      </c>
    </row>
    <row r="100" spans="1:13" x14ac:dyDescent="0.3">
      <c r="A100" t="s">
        <v>28</v>
      </c>
      <c r="B100" t="s">
        <v>59</v>
      </c>
      <c r="C100" t="s">
        <v>9</v>
      </c>
      <c r="D100">
        <v>60</v>
      </c>
      <c r="E100">
        <v>8</v>
      </c>
      <c r="H100" t="s">
        <v>23</v>
      </c>
      <c r="I100" t="s">
        <v>56</v>
      </c>
      <c r="J100" t="s">
        <v>7</v>
      </c>
      <c r="K100">
        <v>4</v>
      </c>
      <c r="M100">
        <v>7</v>
      </c>
    </row>
    <row r="101" spans="1:13" x14ac:dyDescent="0.3">
      <c r="A101" t="s">
        <v>28</v>
      </c>
      <c r="B101" t="s">
        <v>102</v>
      </c>
      <c r="C101" t="s">
        <v>13</v>
      </c>
      <c r="D101">
        <v>1</v>
      </c>
      <c r="E101">
        <v>9</v>
      </c>
      <c r="H101" t="s">
        <v>23</v>
      </c>
      <c r="I101" t="s">
        <v>89</v>
      </c>
      <c r="J101" t="s">
        <v>13</v>
      </c>
      <c r="K101">
        <v>1</v>
      </c>
      <c r="M101">
        <v>8</v>
      </c>
    </row>
    <row r="102" spans="1:13" x14ac:dyDescent="0.3">
      <c r="A102" t="s">
        <v>28</v>
      </c>
      <c r="B102" t="s">
        <v>87</v>
      </c>
      <c r="C102" t="s">
        <v>7</v>
      </c>
      <c r="D102">
        <v>4</v>
      </c>
      <c r="E102">
        <v>10</v>
      </c>
      <c r="H102" t="s">
        <v>23</v>
      </c>
      <c r="I102" t="s">
        <v>90</v>
      </c>
      <c r="J102" t="s">
        <v>27</v>
      </c>
      <c r="K102">
        <v>8</v>
      </c>
      <c r="M102">
        <v>9</v>
      </c>
    </row>
    <row r="103" spans="1:13" x14ac:dyDescent="0.3">
      <c r="A103" t="s">
        <v>28</v>
      </c>
      <c r="B103" t="s">
        <v>103</v>
      </c>
      <c r="C103" t="s">
        <v>13</v>
      </c>
      <c r="D103">
        <v>1</v>
      </c>
      <c r="E103">
        <v>11</v>
      </c>
      <c r="H103" t="s">
        <v>23</v>
      </c>
      <c r="I103" t="s">
        <v>91</v>
      </c>
      <c r="J103" t="s">
        <v>27</v>
      </c>
      <c r="K103">
        <v>8</v>
      </c>
      <c r="M103">
        <v>10</v>
      </c>
    </row>
    <row r="104" spans="1:13" x14ac:dyDescent="0.3">
      <c r="A104" t="s">
        <v>28</v>
      </c>
      <c r="B104" t="s">
        <v>104</v>
      </c>
      <c r="C104" t="s">
        <v>27</v>
      </c>
      <c r="D104">
        <v>8</v>
      </c>
      <c r="E104">
        <v>12</v>
      </c>
      <c r="H104" t="s">
        <v>23</v>
      </c>
      <c r="I104" t="s">
        <v>92</v>
      </c>
      <c r="J104" t="s">
        <v>27</v>
      </c>
      <c r="K104">
        <v>8</v>
      </c>
      <c r="M104">
        <v>11</v>
      </c>
    </row>
    <row r="105" spans="1:13" x14ac:dyDescent="0.3">
      <c r="A105" t="s">
        <v>28</v>
      </c>
      <c r="B105" t="s">
        <v>105</v>
      </c>
      <c r="C105" t="s">
        <v>7</v>
      </c>
      <c r="D105">
        <v>4</v>
      </c>
      <c r="E105">
        <v>13</v>
      </c>
      <c r="H105" t="s">
        <v>25</v>
      </c>
      <c r="I105" t="s">
        <v>6</v>
      </c>
      <c r="J105" t="s">
        <v>7</v>
      </c>
      <c r="K105">
        <v>4</v>
      </c>
      <c r="M105">
        <v>1</v>
      </c>
    </row>
    <row r="106" spans="1:13" x14ac:dyDescent="0.3">
      <c r="A106" t="s">
        <v>28</v>
      </c>
      <c r="B106" t="s">
        <v>106</v>
      </c>
      <c r="C106" t="s">
        <v>107</v>
      </c>
      <c r="D106">
        <v>20</v>
      </c>
      <c r="E106">
        <v>14</v>
      </c>
      <c r="H106" t="s">
        <v>25</v>
      </c>
      <c r="I106" t="s">
        <v>57</v>
      </c>
      <c r="J106" t="s">
        <v>7</v>
      </c>
      <c r="K106">
        <v>4</v>
      </c>
      <c r="M106">
        <v>2</v>
      </c>
    </row>
    <row r="107" spans="1:13" x14ac:dyDescent="0.3">
      <c r="A107" t="s">
        <v>30</v>
      </c>
      <c r="B107" t="s">
        <v>6</v>
      </c>
      <c r="C107" t="s">
        <v>7</v>
      </c>
      <c r="D107">
        <v>4</v>
      </c>
      <c r="E107">
        <v>1</v>
      </c>
      <c r="H107" t="s">
        <v>25</v>
      </c>
      <c r="I107" t="s">
        <v>93</v>
      </c>
      <c r="J107" t="s">
        <v>7</v>
      </c>
      <c r="K107">
        <v>4</v>
      </c>
      <c r="M107">
        <v>3</v>
      </c>
    </row>
    <row r="108" spans="1:13" x14ac:dyDescent="0.3">
      <c r="A108" t="s">
        <v>30</v>
      </c>
      <c r="B108" t="s">
        <v>108</v>
      </c>
      <c r="C108" t="s">
        <v>9</v>
      </c>
      <c r="D108">
        <v>24</v>
      </c>
      <c r="E108">
        <v>2</v>
      </c>
      <c r="H108" t="s">
        <v>25</v>
      </c>
      <c r="I108" t="s">
        <v>11</v>
      </c>
      <c r="J108" t="s">
        <v>9</v>
      </c>
      <c r="K108">
        <v>200</v>
      </c>
      <c r="M108">
        <v>4</v>
      </c>
    </row>
    <row r="109" spans="1:13" x14ac:dyDescent="0.3">
      <c r="A109" t="s">
        <v>30</v>
      </c>
      <c r="B109" t="s">
        <v>8</v>
      </c>
      <c r="C109" t="s">
        <v>9</v>
      </c>
      <c r="D109">
        <v>80</v>
      </c>
      <c r="E109">
        <v>3</v>
      </c>
      <c r="H109" t="s">
        <v>25</v>
      </c>
      <c r="I109" t="s">
        <v>94</v>
      </c>
      <c r="J109" t="s">
        <v>9</v>
      </c>
      <c r="K109">
        <v>50</v>
      </c>
      <c r="M109">
        <v>5</v>
      </c>
    </row>
    <row r="110" spans="1:13" x14ac:dyDescent="0.3">
      <c r="A110" t="s">
        <v>30</v>
      </c>
      <c r="B110" t="s">
        <v>109</v>
      </c>
      <c r="C110" t="s">
        <v>9</v>
      </c>
      <c r="D110">
        <v>20</v>
      </c>
      <c r="E110">
        <v>4</v>
      </c>
      <c r="H110" t="s">
        <v>25</v>
      </c>
      <c r="I110" t="s">
        <v>40</v>
      </c>
      <c r="J110" t="s">
        <v>13</v>
      </c>
      <c r="K110">
        <v>1</v>
      </c>
      <c r="M110">
        <v>6</v>
      </c>
    </row>
    <row r="111" spans="1:13" x14ac:dyDescent="0.3">
      <c r="A111" t="s">
        <v>30</v>
      </c>
      <c r="B111" t="s">
        <v>110</v>
      </c>
      <c r="C111" t="s">
        <v>7</v>
      </c>
      <c r="D111">
        <v>4</v>
      </c>
      <c r="E111">
        <v>5</v>
      </c>
      <c r="H111" t="s">
        <v>25</v>
      </c>
      <c r="I111" t="s">
        <v>95</v>
      </c>
      <c r="J111" t="s">
        <v>7</v>
      </c>
      <c r="K111">
        <v>4</v>
      </c>
      <c r="M111">
        <v>7</v>
      </c>
    </row>
    <row r="112" spans="1:13" x14ac:dyDescent="0.3">
      <c r="A112" t="s">
        <v>30</v>
      </c>
      <c r="B112" t="s">
        <v>111</v>
      </c>
      <c r="C112" t="s">
        <v>7</v>
      </c>
      <c r="D112">
        <v>4</v>
      </c>
      <c r="E112">
        <v>6</v>
      </c>
      <c r="H112" t="s">
        <v>25</v>
      </c>
      <c r="I112" t="s">
        <v>96</v>
      </c>
      <c r="J112" t="s">
        <v>27</v>
      </c>
      <c r="K112">
        <v>8</v>
      </c>
      <c r="M112">
        <v>8</v>
      </c>
    </row>
    <row r="113" spans="1:13" x14ac:dyDescent="0.3">
      <c r="A113" t="s">
        <v>30</v>
      </c>
      <c r="B113" t="s">
        <v>112</v>
      </c>
      <c r="C113" t="s">
        <v>9</v>
      </c>
      <c r="D113">
        <v>-1</v>
      </c>
      <c r="E113">
        <v>7</v>
      </c>
      <c r="H113" t="s">
        <v>25</v>
      </c>
      <c r="I113" t="s">
        <v>90</v>
      </c>
      <c r="J113" t="s">
        <v>27</v>
      </c>
      <c r="K113">
        <v>8</v>
      </c>
      <c r="M113">
        <v>9</v>
      </c>
    </row>
    <row r="114" spans="1:13" x14ac:dyDescent="0.3">
      <c r="A114" t="s">
        <v>30</v>
      </c>
      <c r="B114" t="s">
        <v>113</v>
      </c>
      <c r="C114" t="s">
        <v>9</v>
      </c>
      <c r="D114">
        <v>510</v>
      </c>
      <c r="E114">
        <v>8</v>
      </c>
      <c r="H114" t="s">
        <v>28</v>
      </c>
      <c r="I114" t="s">
        <v>6</v>
      </c>
      <c r="J114" t="s">
        <v>7</v>
      </c>
      <c r="K114">
        <v>4</v>
      </c>
      <c r="M114">
        <v>1</v>
      </c>
    </row>
    <row r="115" spans="1:13" x14ac:dyDescent="0.3">
      <c r="A115" t="s">
        <v>30</v>
      </c>
      <c r="B115" t="s">
        <v>114</v>
      </c>
      <c r="C115" t="s">
        <v>9</v>
      </c>
      <c r="D115">
        <v>-1</v>
      </c>
      <c r="E115">
        <v>9</v>
      </c>
      <c r="H115" t="s">
        <v>28</v>
      </c>
      <c r="I115" t="s">
        <v>97</v>
      </c>
      <c r="J115" t="s">
        <v>7</v>
      </c>
      <c r="K115">
        <v>4</v>
      </c>
      <c r="M115">
        <v>2</v>
      </c>
    </row>
    <row r="116" spans="1:13" x14ac:dyDescent="0.3">
      <c r="A116" t="s">
        <v>30</v>
      </c>
      <c r="B116" t="s">
        <v>115</v>
      </c>
      <c r="C116" t="s">
        <v>9</v>
      </c>
      <c r="D116">
        <v>-1</v>
      </c>
      <c r="E116">
        <v>10</v>
      </c>
      <c r="H116" t="s">
        <v>28</v>
      </c>
      <c r="I116" t="s">
        <v>98</v>
      </c>
      <c r="J116" t="s">
        <v>7</v>
      </c>
      <c r="K116">
        <v>4</v>
      </c>
      <c r="M116">
        <v>3</v>
      </c>
    </row>
    <row r="117" spans="1:13" x14ac:dyDescent="0.3">
      <c r="A117" t="s">
        <v>30</v>
      </c>
      <c r="B117" t="s">
        <v>21</v>
      </c>
      <c r="C117" t="s">
        <v>9</v>
      </c>
      <c r="D117">
        <v>-1</v>
      </c>
      <c r="E117">
        <v>11</v>
      </c>
      <c r="H117" t="s">
        <v>28</v>
      </c>
      <c r="I117" t="s">
        <v>55</v>
      </c>
      <c r="J117" t="s">
        <v>54</v>
      </c>
      <c r="K117">
        <v>8</v>
      </c>
      <c r="M117">
        <v>4</v>
      </c>
    </row>
    <row r="118" spans="1:13" x14ac:dyDescent="0.3">
      <c r="A118" t="s">
        <v>30</v>
      </c>
      <c r="B118" t="s">
        <v>116</v>
      </c>
      <c r="C118" t="s">
        <v>9</v>
      </c>
      <c r="D118">
        <v>-1</v>
      </c>
      <c r="E118">
        <v>12</v>
      </c>
      <c r="H118" t="s">
        <v>28</v>
      </c>
      <c r="I118" t="s">
        <v>99</v>
      </c>
      <c r="J118" t="s">
        <v>54</v>
      </c>
      <c r="K118">
        <v>8</v>
      </c>
      <c r="M118">
        <v>5</v>
      </c>
    </row>
    <row r="119" spans="1:13" x14ac:dyDescent="0.3">
      <c r="A119" t="s">
        <v>30</v>
      </c>
      <c r="B119" t="s">
        <v>117</v>
      </c>
      <c r="C119" t="s">
        <v>9</v>
      </c>
      <c r="D119">
        <v>-1</v>
      </c>
      <c r="E119">
        <v>13</v>
      </c>
      <c r="H119" t="s">
        <v>28</v>
      </c>
      <c r="I119" t="s">
        <v>100</v>
      </c>
      <c r="J119" t="s">
        <v>54</v>
      </c>
      <c r="K119">
        <v>8</v>
      </c>
      <c r="M119">
        <v>6</v>
      </c>
    </row>
    <row r="120" spans="1:13" x14ac:dyDescent="0.3">
      <c r="A120" t="s">
        <v>30</v>
      </c>
      <c r="B120" t="s">
        <v>118</v>
      </c>
      <c r="C120" t="s">
        <v>13</v>
      </c>
      <c r="D120">
        <v>1</v>
      </c>
      <c r="E120">
        <v>14</v>
      </c>
      <c r="H120" t="s">
        <v>28</v>
      </c>
      <c r="I120" t="s">
        <v>101</v>
      </c>
      <c r="J120" t="s">
        <v>54</v>
      </c>
      <c r="K120">
        <v>8</v>
      </c>
      <c r="M120">
        <v>7</v>
      </c>
    </row>
    <row r="121" spans="1:13" x14ac:dyDescent="0.3">
      <c r="A121" t="s">
        <v>30</v>
      </c>
      <c r="B121" t="s">
        <v>119</v>
      </c>
      <c r="C121" t="s">
        <v>7</v>
      </c>
      <c r="D121">
        <v>4</v>
      </c>
      <c r="E121">
        <v>15</v>
      </c>
      <c r="H121" t="s">
        <v>28</v>
      </c>
      <c r="I121" t="s">
        <v>59</v>
      </c>
      <c r="J121" t="s">
        <v>9</v>
      </c>
      <c r="K121">
        <v>60</v>
      </c>
      <c r="M121">
        <v>8</v>
      </c>
    </row>
    <row r="122" spans="1:13" x14ac:dyDescent="0.3">
      <c r="A122" t="s">
        <v>30</v>
      </c>
      <c r="B122" t="s">
        <v>120</v>
      </c>
      <c r="C122" t="s">
        <v>9</v>
      </c>
      <c r="D122">
        <v>-1</v>
      </c>
      <c r="E122">
        <v>16</v>
      </c>
      <c r="H122" t="s">
        <v>28</v>
      </c>
      <c r="I122" t="s">
        <v>102</v>
      </c>
      <c r="J122" t="s">
        <v>13</v>
      </c>
      <c r="K122">
        <v>1</v>
      </c>
      <c r="M122">
        <v>9</v>
      </c>
    </row>
    <row r="123" spans="1:13" x14ac:dyDescent="0.3">
      <c r="A123" t="s">
        <v>30</v>
      </c>
      <c r="B123" t="s">
        <v>121</v>
      </c>
      <c r="C123" t="s">
        <v>13</v>
      </c>
      <c r="D123">
        <v>1</v>
      </c>
      <c r="E123">
        <v>17</v>
      </c>
      <c r="H123" t="s">
        <v>28</v>
      </c>
      <c r="I123" t="s">
        <v>87</v>
      </c>
      <c r="J123" t="s">
        <v>7</v>
      </c>
      <c r="K123">
        <v>4</v>
      </c>
      <c r="M123">
        <v>10</v>
      </c>
    </row>
    <row r="124" spans="1:13" x14ac:dyDescent="0.3">
      <c r="A124" t="s">
        <v>30</v>
      </c>
      <c r="B124" t="s">
        <v>122</v>
      </c>
      <c r="C124" t="s">
        <v>7</v>
      </c>
      <c r="D124">
        <v>4</v>
      </c>
      <c r="E124">
        <v>18</v>
      </c>
      <c r="H124" t="s">
        <v>28</v>
      </c>
      <c r="I124" t="s">
        <v>103</v>
      </c>
      <c r="J124" t="s">
        <v>13</v>
      </c>
      <c r="K124">
        <v>1</v>
      </c>
      <c r="M124">
        <v>11</v>
      </c>
    </row>
    <row r="125" spans="1:13" x14ac:dyDescent="0.3">
      <c r="A125" t="s">
        <v>30</v>
      </c>
      <c r="B125" t="s">
        <v>123</v>
      </c>
      <c r="C125" t="s">
        <v>7</v>
      </c>
      <c r="D125">
        <v>4</v>
      </c>
      <c r="E125">
        <v>19</v>
      </c>
      <c r="H125" t="s">
        <v>28</v>
      </c>
      <c r="I125" t="s">
        <v>104</v>
      </c>
      <c r="J125" t="s">
        <v>27</v>
      </c>
      <c r="K125">
        <v>8</v>
      </c>
      <c r="M125">
        <v>12</v>
      </c>
    </row>
    <row r="126" spans="1:13" x14ac:dyDescent="0.3">
      <c r="A126" t="s">
        <v>30</v>
      </c>
      <c r="B126" t="s">
        <v>124</v>
      </c>
      <c r="C126" t="s">
        <v>7</v>
      </c>
      <c r="D126">
        <v>4</v>
      </c>
      <c r="E126">
        <v>20</v>
      </c>
      <c r="H126" t="s">
        <v>28</v>
      </c>
      <c r="I126" t="s">
        <v>105</v>
      </c>
      <c r="J126" t="s">
        <v>7</v>
      </c>
      <c r="K126">
        <v>4</v>
      </c>
      <c r="M126">
        <v>13</v>
      </c>
    </row>
    <row r="127" spans="1:13" x14ac:dyDescent="0.3">
      <c r="A127" t="s">
        <v>30</v>
      </c>
      <c r="B127" t="s">
        <v>125</v>
      </c>
      <c r="C127" t="s">
        <v>7</v>
      </c>
      <c r="D127">
        <v>4</v>
      </c>
      <c r="E127">
        <v>21</v>
      </c>
      <c r="H127" t="s">
        <v>28</v>
      </c>
      <c r="I127" t="s">
        <v>106</v>
      </c>
      <c r="J127" t="s">
        <v>107</v>
      </c>
      <c r="K127">
        <v>20</v>
      </c>
      <c r="M127">
        <v>14</v>
      </c>
    </row>
    <row r="128" spans="1:13" x14ac:dyDescent="0.3">
      <c r="A128" t="s">
        <v>30</v>
      </c>
      <c r="B128" t="s">
        <v>126</v>
      </c>
      <c r="C128" t="s">
        <v>7</v>
      </c>
      <c r="D128">
        <v>4</v>
      </c>
      <c r="E128">
        <v>22</v>
      </c>
      <c r="H128" t="s">
        <v>30</v>
      </c>
      <c r="I128" t="s">
        <v>6</v>
      </c>
      <c r="J128" t="s">
        <v>7</v>
      </c>
      <c r="K128">
        <v>4</v>
      </c>
      <c r="M128">
        <v>1</v>
      </c>
    </row>
    <row r="129" spans="1:13" x14ac:dyDescent="0.3">
      <c r="A129" t="s">
        <v>30</v>
      </c>
      <c r="B129" t="s">
        <v>127</v>
      </c>
      <c r="C129" t="s">
        <v>9</v>
      </c>
      <c r="D129">
        <v>-1</v>
      </c>
      <c r="E129">
        <v>23</v>
      </c>
      <c r="H129" t="s">
        <v>30</v>
      </c>
      <c r="I129" t="s">
        <v>108</v>
      </c>
      <c r="J129" t="s">
        <v>9</v>
      </c>
      <c r="K129">
        <v>24</v>
      </c>
      <c r="M129">
        <v>2</v>
      </c>
    </row>
    <row r="130" spans="1:13" x14ac:dyDescent="0.3">
      <c r="A130" t="s">
        <v>33</v>
      </c>
      <c r="B130" t="s">
        <v>6</v>
      </c>
      <c r="C130" t="s">
        <v>7</v>
      </c>
      <c r="D130">
        <v>4</v>
      </c>
      <c r="E130">
        <v>1</v>
      </c>
      <c r="H130" t="s">
        <v>30</v>
      </c>
      <c r="I130" t="s">
        <v>8</v>
      </c>
      <c r="J130" t="s">
        <v>9</v>
      </c>
      <c r="K130">
        <v>80</v>
      </c>
      <c r="M130">
        <v>3</v>
      </c>
    </row>
    <row r="131" spans="1:13" x14ac:dyDescent="0.3">
      <c r="A131" t="s">
        <v>33</v>
      </c>
      <c r="B131" t="s">
        <v>149</v>
      </c>
      <c r="C131" t="s">
        <v>7</v>
      </c>
      <c r="D131">
        <v>4</v>
      </c>
      <c r="E131">
        <v>2</v>
      </c>
      <c r="H131" t="s">
        <v>30</v>
      </c>
      <c r="I131" t="s">
        <v>109</v>
      </c>
      <c r="J131" t="s">
        <v>9</v>
      </c>
      <c r="K131">
        <v>20</v>
      </c>
      <c r="M131">
        <v>4</v>
      </c>
    </row>
    <row r="132" spans="1:13" x14ac:dyDescent="0.3">
      <c r="A132" t="s">
        <v>33</v>
      </c>
      <c r="B132" t="s">
        <v>150</v>
      </c>
      <c r="C132" t="s">
        <v>7</v>
      </c>
      <c r="D132">
        <v>4</v>
      </c>
      <c r="E132">
        <v>3</v>
      </c>
      <c r="H132" t="s">
        <v>30</v>
      </c>
      <c r="I132" t="s">
        <v>110</v>
      </c>
      <c r="J132" t="s">
        <v>7</v>
      </c>
      <c r="K132">
        <v>4</v>
      </c>
      <c r="M132">
        <v>5</v>
      </c>
    </row>
    <row r="133" spans="1:13" x14ac:dyDescent="0.3">
      <c r="A133" t="s">
        <v>33</v>
      </c>
      <c r="B133" t="s">
        <v>151</v>
      </c>
      <c r="C133" t="s">
        <v>27</v>
      </c>
      <c r="D133">
        <v>8</v>
      </c>
      <c r="E133">
        <v>4</v>
      </c>
      <c r="H133" t="s">
        <v>30</v>
      </c>
      <c r="I133" t="s">
        <v>111</v>
      </c>
      <c r="J133" t="s">
        <v>7</v>
      </c>
      <c r="K133">
        <v>4</v>
      </c>
      <c r="M133">
        <v>6</v>
      </c>
    </row>
    <row r="134" spans="1:13" x14ac:dyDescent="0.3">
      <c r="A134" t="s">
        <v>33</v>
      </c>
      <c r="B134" t="s">
        <v>152</v>
      </c>
      <c r="C134" t="s">
        <v>7</v>
      </c>
      <c r="D134">
        <v>4</v>
      </c>
      <c r="E134">
        <v>5</v>
      </c>
      <c r="H134" t="s">
        <v>30</v>
      </c>
      <c r="I134" t="s">
        <v>112</v>
      </c>
      <c r="J134" t="s">
        <v>9</v>
      </c>
      <c r="K134">
        <v>-1</v>
      </c>
      <c r="M134">
        <v>7</v>
      </c>
    </row>
    <row r="135" spans="1:13" x14ac:dyDescent="0.3">
      <c r="A135" t="s">
        <v>33</v>
      </c>
      <c r="B135" t="s">
        <v>153</v>
      </c>
      <c r="C135" t="s">
        <v>13</v>
      </c>
      <c r="D135">
        <v>1</v>
      </c>
      <c r="E135">
        <v>6</v>
      </c>
      <c r="H135" t="s">
        <v>30</v>
      </c>
      <c r="I135" t="s">
        <v>113</v>
      </c>
      <c r="J135" t="s">
        <v>9</v>
      </c>
      <c r="K135">
        <v>510</v>
      </c>
      <c r="M135">
        <v>8</v>
      </c>
    </row>
    <row r="136" spans="1:13" x14ac:dyDescent="0.3">
      <c r="A136" t="s">
        <v>188</v>
      </c>
      <c r="B136" t="s">
        <v>6</v>
      </c>
      <c r="C136" t="s">
        <v>7</v>
      </c>
      <c r="D136">
        <v>4</v>
      </c>
      <c r="E136">
        <v>1</v>
      </c>
      <c r="H136" t="s">
        <v>30</v>
      </c>
      <c r="I136" t="s">
        <v>114</v>
      </c>
      <c r="J136" t="s">
        <v>9</v>
      </c>
      <c r="K136">
        <v>-1</v>
      </c>
      <c r="M136">
        <v>9</v>
      </c>
    </row>
    <row r="137" spans="1:13" x14ac:dyDescent="0.3">
      <c r="A137" t="s">
        <v>188</v>
      </c>
      <c r="B137" t="s">
        <v>112</v>
      </c>
      <c r="C137" t="s">
        <v>9</v>
      </c>
      <c r="D137">
        <v>100</v>
      </c>
      <c r="E137">
        <v>2</v>
      </c>
      <c r="H137" t="s">
        <v>30</v>
      </c>
      <c r="I137" t="s">
        <v>115</v>
      </c>
      <c r="J137" t="s">
        <v>9</v>
      </c>
      <c r="K137">
        <v>-1</v>
      </c>
      <c r="M137">
        <v>10</v>
      </c>
    </row>
    <row r="138" spans="1:13" x14ac:dyDescent="0.3">
      <c r="A138" t="s">
        <v>188</v>
      </c>
      <c r="B138" t="s">
        <v>59</v>
      </c>
      <c r="C138" t="s">
        <v>9</v>
      </c>
      <c r="D138">
        <v>200</v>
      </c>
      <c r="E138">
        <v>3</v>
      </c>
      <c r="H138" t="s">
        <v>30</v>
      </c>
      <c r="I138" t="s">
        <v>21</v>
      </c>
      <c r="J138" t="s">
        <v>9</v>
      </c>
      <c r="K138">
        <v>-1</v>
      </c>
      <c r="M138">
        <v>11</v>
      </c>
    </row>
    <row r="139" spans="1:13" x14ac:dyDescent="0.3">
      <c r="A139" t="s">
        <v>188</v>
      </c>
      <c r="B139" t="s">
        <v>190</v>
      </c>
      <c r="C139" t="s">
        <v>7</v>
      </c>
      <c r="D139">
        <v>4</v>
      </c>
      <c r="E139">
        <v>4</v>
      </c>
      <c r="H139" t="s">
        <v>30</v>
      </c>
      <c r="I139" t="s">
        <v>116</v>
      </c>
      <c r="J139" t="s">
        <v>9</v>
      </c>
      <c r="K139">
        <v>-1</v>
      </c>
      <c r="M139">
        <v>12</v>
      </c>
    </row>
    <row r="140" spans="1:13" x14ac:dyDescent="0.3">
      <c r="A140" t="s">
        <v>31</v>
      </c>
      <c r="B140" t="s">
        <v>32</v>
      </c>
      <c r="C140" t="s">
        <v>9</v>
      </c>
      <c r="D140">
        <v>100</v>
      </c>
      <c r="E140">
        <v>11</v>
      </c>
      <c r="H140" t="s">
        <v>30</v>
      </c>
      <c r="I140" t="s">
        <v>117</v>
      </c>
      <c r="J140" t="s">
        <v>9</v>
      </c>
      <c r="K140">
        <v>-1</v>
      </c>
      <c r="M140">
        <v>13</v>
      </c>
    </row>
    <row r="141" spans="1:13" x14ac:dyDescent="0.3">
      <c r="A141" t="s">
        <v>31</v>
      </c>
      <c r="B141" t="s">
        <v>134</v>
      </c>
      <c r="C141" t="s">
        <v>135</v>
      </c>
      <c r="D141">
        <v>16</v>
      </c>
      <c r="E141">
        <v>12</v>
      </c>
      <c r="H141" t="s">
        <v>30</v>
      </c>
      <c r="I141" t="s">
        <v>118</v>
      </c>
      <c r="J141" t="s">
        <v>13</v>
      </c>
      <c r="K141">
        <v>1</v>
      </c>
      <c r="M141">
        <v>14</v>
      </c>
    </row>
    <row r="142" spans="1:13" x14ac:dyDescent="0.3">
      <c r="A142" t="s">
        <v>31</v>
      </c>
      <c r="B142" t="s">
        <v>136</v>
      </c>
      <c r="C142" t="s">
        <v>13</v>
      </c>
      <c r="D142">
        <v>1</v>
      </c>
      <c r="E142">
        <v>13</v>
      </c>
      <c r="H142" t="s">
        <v>30</v>
      </c>
      <c r="I142" t="s">
        <v>119</v>
      </c>
      <c r="J142" t="s">
        <v>7</v>
      </c>
      <c r="K142">
        <v>4</v>
      </c>
      <c r="M142">
        <v>15</v>
      </c>
    </row>
    <row r="143" spans="1:13" x14ac:dyDescent="0.3">
      <c r="A143" t="s">
        <v>31</v>
      </c>
      <c r="B143" t="s">
        <v>59</v>
      </c>
      <c r="C143" t="s">
        <v>9</v>
      </c>
      <c r="D143">
        <v>510</v>
      </c>
      <c r="E143">
        <v>14</v>
      </c>
      <c r="H143" t="s">
        <v>30</v>
      </c>
      <c r="I143" t="s">
        <v>120</v>
      </c>
      <c r="J143" t="s">
        <v>9</v>
      </c>
      <c r="K143">
        <v>-1</v>
      </c>
      <c r="M143">
        <v>16</v>
      </c>
    </row>
    <row r="144" spans="1:13" x14ac:dyDescent="0.3">
      <c r="A144" t="s">
        <v>31</v>
      </c>
      <c r="B144" t="s">
        <v>137</v>
      </c>
      <c r="C144" t="s">
        <v>9</v>
      </c>
      <c r="D144">
        <v>510</v>
      </c>
      <c r="E144">
        <v>15</v>
      </c>
      <c r="H144" t="s">
        <v>30</v>
      </c>
      <c r="I144" t="s">
        <v>121</v>
      </c>
      <c r="J144" t="s">
        <v>13</v>
      </c>
      <c r="K144">
        <v>1</v>
      </c>
      <c r="M144">
        <v>17</v>
      </c>
    </row>
    <row r="145" spans="1:13" x14ac:dyDescent="0.3">
      <c r="A145" t="s">
        <v>31</v>
      </c>
      <c r="B145" t="s">
        <v>138</v>
      </c>
      <c r="C145" t="s">
        <v>9</v>
      </c>
      <c r="D145">
        <v>510</v>
      </c>
      <c r="E145">
        <v>16</v>
      </c>
      <c r="H145" t="s">
        <v>30</v>
      </c>
      <c r="I145" t="s">
        <v>122</v>
      </c>
      <c r="J145" t="s">
        <v>7</v>
      </c>
      <c r="K145">
        <v>4</v>
      </c>
      <c r="M145">
        <v>18</v>
      </c>
    </row>
    <row r="146" spans="1:13" x14ac:dyDescent="0.3">
      <c r="A146" t="s">
        <v>31</v>
      </c>
      <c r="B146" t="s">
        <v>139</v>
      </c>
      <c r="C146" t="s">
        <v>9</v>
      </c>
      <c r="D146">
        <v>510</v>
      </c>
      <c r="E146">
        <v>17</v>
      </c>
      <c r="H146" t="s">
        <v>30</v>
      </c>
      <c r="I146" t="s">
        <v>123</v>
      </c>
      <c r="J146" t="s">
        <v>7</v>
      </c>
      <c r="K146">
        <v>4</v>
      </c>
      <c r="M146">
        <v>19</v>
      </c>
    </row>
    <row r="147" spans="1:13" x14ac:dyDescent="0.3">
      <c r="A147" t="s">
        <v>31</v>
      </c>
      <c r="B147" t="s">
        <v>140</v>
      </c>
      <c r="C147" t="s">
        <v>13</v>
      </c>
      <c r="D147">
        <v>1</v>
      </c>
      <c r="E147">
        <v>18</v>
      </c>
      <c r="H147" t="s">
        <v>30</v>
      </c>
      <c r="I147" t="s">
        <v>124</v>
      </c>
      <c r="J147" t="s">
        <v>7</v>
      </c>
      <c r="K147">
        <v>4</v>
      </c>
      <c r="M147">
        <v>20</v>
      </c>
    </row>
    <row r="148" spans="1:13" x14ac:dyDescent="0.3">
      <c r="A148" t="s">
        <v>31</v>
      </c>
      <c r="B148" t="s">
        <v>40</v>
      </c>
      <c r="C148" t="s">
        <v>13</v>
      </c>
      <c r="D148">
        <v>1</v>
      </c>
      <c r="E148">
        <v>19</v>
      </c>
      <c r="H148" t="s">
        <v>30</v>
      </c>
      <c r="I148" t="s">
        <v>125</v>
      </c>
      <c r="J148" t="s">
        <v>7</v>
      </c>
      <c r="K148">
        <v>4</v>
      </c>
      <c r="M148">
        <v>21</v>
      </c>
    </row>
    <row r="149" spans="1:13" x14ac:dyDescent="0.3">
      <c r="A149" t="s">
        <v>31</v>
      </c>
      <c r="B149" t="s">
        <v>141</v>
      </c>
      <c r="C149" t="s">
        <v>13</v>
      </c>
      <c r="D149">
        <v>1</v>
      </c>
      <c r="E149">
        <v>20</v>
      </c>
      <c r="H149" t="s">
        <v>30</v>
      </c>
      <c r="I149" t="s">
        <v>126</v>
      </c>
      <c r="J149" t="s">
        <v>7</v>
      </c>
      <c r="K149">
        <v>4</v>
      </c>
      <c r="M149">
        <v>22</v>
      </c>
    </row>
    <row r="150" spans="1:13" x14ac:dyDescent="0.3">
      <c r="A150" t="s">
        <v>31</v>
      </c>
      <c r="B150" t="s">
        <v>142</v>
      </c>
      <c r="C150" t="s">
        <v>27</v>
      </c>
      <c r="D150">
        <v>8</v>
      </c>
      <c r="E150">
        <v>21</v>
      </c>
      <c r="H150" t="s">
        <v>30</v>
      </c>
      <c r="I150" t="s">
        <v>127</v>
      </c>
      <c r="J150" t="s">
        <v>9</v>
      </c>
      <c r="K150">
        <v>-1</v>
      </c>
      <c r="M150">
        <v>23</v>
      </c>
    </row>
    <row r="151" spans="1:13" x14ac:dyDescent="0.3">
      <c r="A151" t="s">
        <v>31</v>
      </c>
      <c r="B151" t="s">
        <v>143</v>
      </c>
      <c r="C151" t="s">
        <v>7</v>
      </c>
      <c r="D151">
        <v>4</v>
      </c>
      <c r="E151">
        <v>22</v>
      </c>
      <c r="H151" t="s">
        <v>191</v>
      </c>
      <c r="I151" t="s">
        <v>6</v>
      </c>
      <c r="J151" t="s">
        <v>7</v>
      </c>
      <c r="K151">
        <v>4</v>
      </c>
      <c r="M151">
        <v>1</v>
      </c>
    </row>
    <row r="152" spans="1:13" x14ac:dyDescent="0.3">
      <c r="A152" t="s">
        <v>31</v>
      </c>
      <c r="B152" t="s">
        <v>144</v>
      </c>
      <c r="C152" t="s">
        <v>13</v>
      </c>
      <c r="D152">
        <v>1</v>
      </c>
      <c r="E152">
        <v>23</v>
      </c>
      <c r="H152" t="s">
        <v>191</v>
      </c>
      <c r="I152" t="s">
        <v>98</v>
      </c>
      <c r="J152" t="s">
        <v>7</v>
      </c>
      <c r="K152">
        <v>4</v>
      </c>
      <c r="M152">
        <v>2</v>
      </c>
    </row>
    <row r="153" spans="1:13" x14ac:dyDescent="0.3">
      <c r="A153" t="s">
        <v>31</v>
      </c>
      <c r="B153" t="s">
        <v>145</v>
      </c>
      <c r="C153" t="s">
        <v>9</v>
      </c>
      <c r="D153">
        <v>510</v>
      </c>
      <c r="E153">
        <v>24</v>
      </c>
      <c r="H153" t="s">
        <v>191</v>
      </c>
      <c r="I153" t="s">
        <v>192</v>
      </c>
      <c r="J153" t="s">
        <v>7</v>
      </c>
      <c r="K153">
        <v>4</v>
      </c>
      <c r="M153">
        <v>3</v>
      </c>
    </row>
    <row r="154" spans="1:13" x14ac:dyDescent="0.3">
      <c r="A154" t="s">
        <v>31</v>
      </c>
      <c r="B154" t="s">
        <v>44</v>
      </c>
      <c r="C154" t="s">
        <v>27</v>
      </c>
      <c r="D154">
        <v>8</v>
      </c>
      <c r="E154">
        <v>25</v>
      </c>
      <c r="H154" t="s">
        <v>191</v>
      </c>
      <c r="I154" t="s">
        <v>193</v>
      </c>
      <c r="J154" t="s">
        <v>54</v>
      </c>
      <c r="K154">
        <v>8</v>
      </c>
      <c r="M154">
        <v>4</v>
      </c>
    </row>
    <row r="155" spans="1:13" x14ac:dyDescent="0.3">
      <c r="A155" t="s">
        <v>31</v>
      </c>
      <c r="B155" t="s">
        <v>146</v>
      </c>
      <c r="C155" t="s">
        <v>13</v>
      </c>
      <c r="D155">
        <v>1</v>
      </c>
      <c r="E155">
        <v>26</v>
      </c>
      <c r="H155" t="s">
        <v>191</v>
      </c>
      <c r="I155" t="s">
        <v>194</v>
      </c>
      <c r="J155" t="s">
        <v>54</v>
      </c>
      <c r="K155">
        <v>8</v>
      </c>
      <c r="M155">
        <v>5</v>
      </c>
    </row>
    <row r="156" spans="1:13" x14ac:dyDescent="0.3">
      <c r="A156" t="s">
        <v>31</v>
      </c>
      <c r="B156" t="s">
        <v>147</v>
      </c>
      <c r="C156" t="s">
        <v>13</v>
      </c>
      <c r="D156">
        <v>1</v>
      </c>
      <c r="E156">
        <v>27</v>
      </c>
      <c r="H156" t="s">
        <v>31</v>
      </c>
      <c r="I156" t="s">
        <v>6</v>
      </c>
      <c r="J156" t="s">
        <v>7</v>
      </c>
      <c r="K156">
        <v>4</v>
      </c>
      <c r="M156">
        <v>1</v>
      </c>
    </row>
    <row r="157" spans="1:13" x14ac:dyDescent="0.3">
      <c r="A157" t="s">
        <v>31</v>
      </c>
      <c r="B157" t="s">
        <v>148</v>
      </c>
      <c r="C157" t="s">
        <v>7</v>
      </c>
      <c r="D157">
        <v>4</v>
      </c>
      <c r="E157">
        <v>28</v>
      </c>
      <c r="H157" t="s">
        <v>31</v>
      </c>
      <c r="I157" t="s">
        <v>24</v>
      </c>
      <c r="J157" t="s">
        <v>9</v>
      </c>
      <c r="K157">
        <v>100</v>
      </c>
      <c r="M157">
        <v>2</v>
      </c>
    </row>
    <row r="158" spans="1:13" x14ac:dyDescent="0.3">
      <c r="A158" t="s">
        <v>33</v>
      </c>
      <c r="B158" t="s">
        <v>6</v>
      </c>
      <c r="C158" t="s">
        <v>7</v>
      </c>
      <c r="D158">
        <v>4</v>
      </c>
      <c r="E158">
        <v>1</v>
      </c>
      <c r="H158" t="s">
        <v>31</v>
      </c>
      <c r="I158" t="s">
        <v>128</v>
      </c>
      <c r="J158" t="s">
        <v>9</v>
      </c>
      <c r="K158">
        <v>510</v>
      </c>
      <c r="M158">
        <v>3</v>
      </c>
    </row>
    <row r="159" spans="1:13" x14ac:dyDescent="0.3">
      <c r="A159" t="s">
        <v>33</v>
      </c>
      <c r="B159" t="s">
        <v>149</v>
      </c>
      <c r="C159" t="s">
        <v>7</v>
      </c>
      <c r="D159">
        <v>4</v>
      </c>
      <c r="E159">
        <v>2</v>
      </c>
      <c r="H159" t="s">
        <v>31</v>
      </c>
      <c r="I159" t="s">
        <v>129</v>
      </c>
      <c r="J159" t="s">
        <v>9</v>
      </c>
      <c r="K159">
        <v>100</v>
      </c>
      <c r="M159">
        <v>4</v>
      </c>
    </row>
    <row r="160" spans="1:13" x14ac:dyDescent="0.3">
      <c r="A160" t="s">
        <v>33</v>
      </c>
      <c r="B160" t="s">
        <v>150</v>
      </c>
      <c r="C160" t="s">
        <v>7</v>
      </c>
      <c r="D160">
        <v>4</v>
      </c>
      <c r="E160">
        <v>3</v>
      </c>
      <c r="H160" t="s">
        <v>31</v>
      </c>
      <c r="I160" t="s">
        <v>130</v>
      </c>
      <c r="J160" t="s">
        <v>13</v>
      </c>
      <c r="K160">
        <v>1</v>
      </c>
      <c r="M160">
        <v>5</v>
      </c>
    </row>
    <row r="161" spans="1:13" x14ac:dyDescent="0.3">
      <c r="A161" t="s">
        <v>33</v>
      </c>
      <c r="B161" t="s">
        <v>151</v>
      </c>
      <c r="C161" t="s">
        <v>27</v>
      </c>
      <c r="D161">
        <v>8</v>
      </c>
      <c r="E161">
        <v>4</v>
      </c>
      <c r="H161" t="s">
        <v>31</v>
      </c>
      <c r="I161" t="s">
        <v>131</v>
      </c>
      <c r="J161" t="s">
        <v>7</v>
      </c>
      <c r="K161">
        <v>4</v>
      </c>
      <c r="M161">
        <v>6</v>
      </c>
    </row>
    <row r="162" spans="1:13" x14ac:dyDescent="0.3">
      <c r="A162" t="s">
        <v>33</v>
      </c>
      <c r="B162" t="s">
        <v>152</v>
      </c>
      <c r="C162" t="s">
        <v>7</v>
      </c>
      <c r="D162">
        <v>4</v>
      </c>
      <c r="E162">
        <v>5</v>
      </c>
      <c r="H162" t="s">
        <v>31</v>
      </c>
      <c r="I162" t="s">
        <v>132</v>
      </c>
      <c r="J162" t="s">
        <v>9</v>
      </c>
      <c r="K162">
        <v>100</v>
      </c>
      <c r="M162">
        <v>7</v>
      </c>
    </row>
    <row r="163" spans="1:13" x14ac:dyDescent="0.3">
      <c r="A163" t="s">
        <v>33</v>
      </c>
      <c r="B163" t="s">
        <v>153</v>
      </c>
      <c r="C163" t="s">
        <v>13</v>
      </c>
      <c r="D163">
        <v>1</v>
      </c>
      <c r="E163">
        <v>6</v>
      </c>
      <c r="H163" t="s">
        <v>31</v>
      </c>
      <c r="I163" t="s">
        <v>133</v>
      </c>
      <c r="J163" t="s">
        <v>7</v>
      </c>
      <c r="K163">
        <v>4</v>
      </c>
      <c r="M163">
        <v>8</v>
      </c>
    </row>
    <row r="164" spans="1:13" x14ac:dyDescent="0.3">
      <c r="A164" t="s">
        <v>191</v>
      </c>
      <c r="B164" t="s">
        <v>6</v>
      </c>
      <c r="C164" t="s">
        <v>7</v>
      </c>
      <c r="D164">
        <v>4</v>
      </c>
      <c r="E164">
        <v>1</v>
      </c>
      <c r="H164" t="s">
        <v>31</v>
      </c>
      <c r="I164" t="s">
        <v>38</v>
      </c>
      <c r="J164" t="s">
        <v>9</v>
      </c>
      <c r="K164">
        <v>100</v>
      </c>
      <c r="M164">
        <v>9</v>
      </c>
    </row>
    <row r="165" spans="1:13" x14ac:dyDescent="0.3">
      <c r="A165" t="s">
        <v>191</v>
      </c>
      <c r="B165" t="s">
        <v>98</v>
      </c>
      <c r="C165" t="s">
        <v>7</v>
      </c>
      <c r="D165">
        <v>4</v>
      </c>
      <c r="E165">
        <v>2</v>
      </c>
      <c r="H165" t="s">
        <v>31</v>
      </c>
      <c r="I165" t="s">
        <v>8</v>
      </c>
      <c r="J165" t="s">
        <v>9</v>
      </c>
      <c r="K165">
        <v>100</v>
      </c>
      <c r="M165">
        <v>10</v>
      </c>
    </row>
    <row r="166" spans="1:13" x14ac:dyDescent="0.3">
      <c r="A166" t="s">
        <v>191</v>
      </c>
      <c r="B166" t="s">
        <v>192</v>
      </c>
      <c r="C166" t="s">
        <v>7</v>
      </c>
      <c r="D166">
        <v>4</v>
      </c>
      <c r="E166">
        <v>3</v>
      </c>
      <c r="H166" t="s">
        <v>31</v>
      </c>
      <c r="I166" t="s">
        <v>32</v>
      </c>
      <c r="J166" t="s">
        <v>9</v>
      </c>
      <c r="K166">
        <v>100</v>
      </c>
      <c r="M166">
        <v>11</v>
      </c>
    </row>
    <row r="167" spans="1:13" x14ac:dyDescent="0.3">
      <c r="A167" t="s">
        <v>191</v>
      </c>
      <c r="B167" t="s">
        <v>193</v>
      </c>
      <c r="C167" t="s">
        <v>54</v>
      </c>
      <c r="D167">
        <v>8</v>
      </c>
      <c r="E167">
        <v>4</v>
      </c>
      <c r="H167" t="s">
        <v>31</v>
      </c>
      <c r="I167" t="s">
        <v>134</v>
      </c>
      <c r="J167" t="s">
        <v>135</v>
      </c>
      <c r="K167">
        <v>16</v>
      </c>
      <c r="M167">
        <v>12</v>
      </c>
    </row>
    <row r="168" spans="1:13" x14ac:dyDescent="0.3">
      <c r="A168" t="s">
        <v>191</v>
      </c>
      <c r="B168" t="s">
        <v>194</v>
      </c>
      <c r="C168" t="s">
        <v>54</v>
      </c>
      <c r="D168">
        <v>8</v>
      </c>
      <c r="E168">
        <v>5</v>
      </c>
      <c r="H168" t="s">
        <v>31</v>
      </c>
      <c r="I168" t="s">
        <v>136</v>
      </c>
      <c r="J168" t="s">
        <v>13</v>
      </c>
      <c r="K168">
        <v>1</v>
      </c>
      <c r="M168">
        <v>13</v>
      </c>
    </row>
    <row r="169" spans="1:13" x14ac:dyDescent="0.3">
      <c r="H169" t="s">
        <v>31</v>
      </c>
      <c r="I169" t="s">
        <v>59</v>
      </c>
      <c r="J169" t="s">
        <v>9</v>
      </c>
      <c r="K169">
        <v>510</v>
      </c>
      <c r="M169">
        <v>14</v>
      </c>
    </row>
    <row r="170" spans="1:13" x14ac:dyDescent="0.3">
      <c r="H170" t="s">
        <v>31</v>
      </c>
      <c r="I170" t="s">
        <v>137</v>
      </c>
      <c r="J170" t="s">
        <v>9</v>
      </c>
      <c r="K170">
        <v>510</v>
      </c>
      <c r="M170">
        <v>15</v>
      </c>
    </row>
    <row r="171" spans="1:13" x14ac:dyDescent="0.3">
      <c r="H171" t="s">
        <v>31</v>
      </c>
      <c r="I171" t="s">
        <v>138</v>
      </c>
      <c r="J171" t="s">
        <v>9</v>
      </c>
      <c r="K171">
        <v>510</v>
      </c>
      <c r="M171">
        <v>16</v>
      </c>
    </row>
    <row r="172" spans="1:13" x14ac:dyDescent="0.3">
      <c r="H172" t="s">
        <v>31</v>
      </c>
      <c r="I172" t="s">
        <v>139</v>
      </c>
      <c r="J172" t="s">
        <v>9</v>
      </c>
      <c r="K172">
        <v>510</v>
      </c>
      <c r="M172">
        <v>17</v>
      </c>
    </row>
    <row r="173" spans="1:13" x14ac:dyDescent="0.3">
      <c r="H173" t="s">
        <v>31</v>
      </c>
      <c r="I173" t="s">
        <v>140</v>
      </c>
      <c r="J173" t="s">
        <v>13</v>
      </c>
      <c r="K173">
        <v>1</v>
      </c>
      <c r="M173">
        <v>18</v>
      </c>
    </row>
    <row r="174" spans="1:13" x14ac:dyDescent="0.3">
      <c r="H174" t="s">
        <v>31</v>
      </c>
      <c r="I174" t="s">
        <v>40</v>
      </c>
      <c r="J174" t="s">
        <v>13</v>
      </c>
      <c r="K174">
        <v>1</v>
      </c>
      <c r="M174">
        <v>19</v>
      </c>
    </row>
    <row r="175" spans="1:13" x14ac:dyDescent="0.3">
      <c r="H175" t="s">
        <v>31</v>
      </c>
      <c r="I175" t="s">
        <v>141</v>
      </c>
      <c r="J175" t="s">
        <v>13</v>
      </c>
      <c r="K175">
        <v>1</v>
      </c>
      <c r="M175">
        <v>20</v>
      </c>
    </row>
    <row r="176" spans="1:13" x14ac:dyDescent="0.3">
      <c r="H176" t="s">
        <v>31</v>
      </c>
      <c r="I176" t="s">
        <v>142</v>
      </c>
      <c r="J176" t="s">
        <v>27</v>
      </c>
      <c r="K176">
        <v>8</v>
      </c>
      <c r="M176">
        <v>21</v>
      </c>
    </row>
    <row r="177" spans="8:13" x14ac:dyDescent="0.3">
      <c r="H177" t="s">
        <v>31</v>
      </c>
      <c r="I177" t="s">
        <v>143</v>
      </c>
      <c r="J177" t="s">
        <v>7</v>
      </c>
      <c r="K177">
        <v>4</v>
      </c>
      <c r="M177">
        <v>22</v>
      </c>
    </row>
    <row r="178" spans="8:13" x14ac:dyDescent="0.3">
      <c r="H178" t="s">
        <v>31</v>
      </c>
      <c r="I178" t="s">
        <v>144</v>
      </c>
      <c r="J178" t="s">
        <v>13</v>
      </c>
      <c r="K178">
        <v>1</v>
      </c>
      <c r="M178">
        <v>23</v>
      </c>
    </row>
    <row r="179" spans="8:13" x14ac:dyDescent="0.3">
      <c r="H179" t="s">
        <v>31</v>
      </c>
      <c r="I179" t="s">
        <v>145</v>
      </c>
      <c r="J179" t="s">
        <v>9</v>
      </c>
      <c r="K179">
        <v>510</v>
      </c>
      <c r="M179">
        <v>24</v>
      </c>
    </row>
    <row r="180" spans="8:13" x14ac:dyDescent="0.3">
      <c r="H180" t="s">
        <v>31</v>
      </c>
      <c r="I180" t="s">
        <v>44</v>
      </c>
      <c r="J180" t="s">
        <v>27</v>
      </c>
      <c r="K180">
        <v>8</v>
      </c>
      <c r="M180">
        <v>25</v>
      </c>
    </row>
    <row r="181" spans="8:13" x14ac:dyDescent="0.3">
      <c r="H181" t="s">
        <v>31</v>
      </c>
      <c r="I181" t="s">
        <v>146</v>
      </c>
      <c r="J181" t="s">
        <v>13</v>
      </c>
      <c r="K181">
        <v>1</v>
      </c>
      <c r="M181">
        <v>26</v>
      </c>
    </row>
    <row r="182" spans="8:13" x14ac:dyDescent="0.3">
      <c r="H182" t="s">
        <v>31</v>
      </c>
      <c r="I182" t="s">
        <v>147</v>
      </c>
      <c r="J182" t="s">
        <v>13</v>
      </c>
      <c r="K182">
        <v>1</v>
      </c>
      <c r="M182">
        <v>27</v>
      </c>
    </row>
    <row r="183" spans="8:13" x14ac:dyDescent="0.3">
      <c r="H183" t="s">
        <v>31</v>
      </c>
      <c r="I183" t="s">
        <v>148</v>
      </c>
      <c r="J183" t="s">
        <v>7</v>
      </c>
      <c r="K183">
        <v>4</v>
      </c>
      <c r="M183">
        <v>28</v>
      </c>
    </row>
    <row r="184" spans="8:13" x14ac:dyDescent="0.3">
      <c r="H184" t="s">
        <v>33</v>
      </c>
      <c r="I184" t="s">
        <v>6</v>
      </c>
      <c r="J184" t="s">
        <v>7</v>
      </c>
      <c r="K184">
        <v>4</v>
      </c>
      <c r="M184">
        <v>1</v>
      </c>
    </row>
    <row r="185" spans="8:13" x14ac:dyDescent="0.3">
      <c r="H185" t="s">
        <v>33</v>
      </c>
      <c r="I185" t="s">
        <v>149</v>
      </c>
      <c r="J185" t="s">
        <v>7</v>
      </c>
      <c r="K185">
        <v>4</v>
      </c>
      <c r="M185">
        <v>2</v>
      </c>
    </row>
    <row r="186" spans="8:13" x14ac:dyDescent="0.3">
      <c r="H186" t="s">
        <v>33</v>
      </c>
      <c r="I186" t="s">
        <v>150</v>
      </c>
      <c r="J186" t="s">
        <v>7</v>
      </c>
      <c r="K186">
        <v>4</v>
      </c>
      <c r="M186">
        <v>3</v>
      </c>
    </row>
    <row r="187" spans="8:13" x14ac:dyDescent="0.3">
      <c r="H187" t="s">
        <v>33</v>
      </c>
      <c r="I187" t="s">
        <v>151</v>
      </c>
      <c r="J187" t="s">
        <v>27</v>
      </c>
      <c r="K187">
        <v>8</v>
      </c>
      <c r="M187">
        <v>4</v>
      </c>
    </row>
    <row r="188" spans="8:13" x14ac:dyDescent="0.3">
      <c r="H188" t="s">
        <v>33</v>
      </c>
      <c r="I188" t="s">
        <v>152</v>
      </c>
      <c r="J188" t="s">
        <v>7</v>
      </c>
      <c r="K188">
        <v>4</v>
      </c>
      <c r="M188">
        <v>5</v>
      </c>
    </row>
    <row r="189" spans="8:13" x14ac:dyDescent="0.3">
      <c r="H189" t="s">
        <v>33</v>
      </c>
      <c r="I189" t="s">
        <v>153</v>
      </c>
      <c r="J189" t="s">
        <v>13</v>
      </c>
      <c r="K189">
        <v>1</v>
      </c>
      <c r="M189">
        <v>6</v>
      </c>
    </row>
    <row r="190" spans="8:13" x14ac:dyDescent="0.3">
      <c r="H190" t="s">
        <v>188</v>
      </c>
      <c r="I190" t="s">
        <v>6</v>
      </c>
      <c r="J190" t="s">
        <v>7</v>
      </c>
      <c r="K190">
        <v>4</v>
      </c>
      <c r="M190">
        <v>1</v>
      </c>
    </row>
    <row r="191" spans="8:13" x14ac:dyDescent="0.3">
      <c r="H191" t="s">
        <v>188</v>
      </c>
      <c r="I191" t="s">
        <v>112</v>
      </c>
      <c r="J191" t="s">
        <v>9</v>
      </c>
      <c r="K191">
        <v>100</v>
      </c>
      <c r="M191">
        <v>2</v>
      </c>
    </row>
    <row r="192" spans="8:13" x14ac:dyDescent="0.3">
      <c r="H192" t="s">
        <v>188</v>
      </c>
      <c r="I192" t="s">
        <v>59</v>
      </c>
      <c r="J192" t="s">
        <v>9</v>
      </c>
      <c r="K192">
        <v>200</v>
      </c>
      <c r="M192">
        <v>3</v>
      </c>
    </row>
    <row r="193" spans="8:13" x14ac:dyDescent="0.3">
      <c r="H193" t="s">
        <v>188</v>
      </c>
      <c r="I193" t="s">
        <v>190</v>
      </c>
      <c r="J193" t="s">
        <v>7</v>
      </c>
      <c r="K193">
        <v>4</v>
      </c>
      <c r="M193">
        <v>4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9A6E-79ED-4DF5-8880-060380039AFB}">
  <dimension ref="A1:S53"/>
  <sheetViews>
    <sheetView topLeftCell="E1" workbookViewId="0">
      <selection activeCell="G30" sqref="G30"/>
    </sheetView>
  </sheetViews>
  <sheetFormatPr defaultRowHeight="14.4" x14ac:dyDescent="0.3"/>
  <cols>
    <col min="2" max="2" width="18.44140625" bestFit="1" customWidth="1"/>
    <col min="3" max="3" width="7" bestFit="1" customWidth="1"/>
    <col min="4" max="4" width="12" style="24" bestFit="1" customWidth="1"/>
    <col min="5" max="5" width="18.5546875" style="19" bestFit="1" customWidth="1"/>
    <col min="6" max="6" width="17.109375" bestFit="1" customWidth="1"/>
    <col min="8" max="8" width="18.44140625" bestFit="1" customWidth="1"/>
    <col min="9" max="9" width="15.5546875" bestFit="1" customWidth="1"/>
    <col min="10" max="10" width="4.5546875" bestFit="1" customWidth="1"/>
    <col min="11" max="11" width="10.5546875" bestFit="1" customWidth="1"/>
    <col min="16" max="16" width="18.44140625" bestFit="1" customWidth="1"/>
  </cols>
  <sheetData>
    <row r="1" spans="1:19" x14ac:dyDescent="0.3">
      <c r="A1" s="6" t="s">
        <v>154</v>
      </c>
      <c r="B1" s="7" t="s">
        <v>155</v>
      </c>
      <c r="C1" s="7" t="s">
        <v>29</v>
      </c>
      <c r="D1" s="20" t="s">
        <v>156</v>
      </c>
      <c r="E1" s="15" t="s">
        <v>157</v>
      </c>
      <c r="F1" s="8" t="s">
        <v>158</v>
      </c>
      <c r="H1" s="1" t="s">
        <v>159</v>
      </c>
      <c r="I1" s="1" t="s">
        <v>160</v>
      </c>
    </row>
    <row r="2" spans="1:19" x14ac:dyDescent="0.3">
      <c r="A2" s="9">
        <v>0</v>
      </c>
      <c r="B2" s="10" t="s">
        <v>161</v>
      </c>
      <c r="C2" s="10">
        <v>1</v>
      </c>
      <c r="D2" s="21">
        <v>36.651528021058702</v>
      </c>
      <c r="E2" s="16"/>
      <c r="F2" s="11">
        <v>1</v>
      </c>
      <c r="H2" s="1" t="s">
        <v>10</v>
      </c>
      <c r="I2">
        <v>0</v>
      </c>
      <c r="J2">
        <v>1</v>
      </c>
      <c r="K2" t="s">
        <v>34</v>
      </c>
      <c r="Q2" s="30" t="s">
        <v>162</v>
      </c>
      <c r="R2" s="30"/>
      <c r="S2" s="30"/>
    </row>
    <row r="3" spans="1:19" x14ac:dyDescent="0.3">
      <c r="A3" s="12">
        <v>0</v>
      </c>
      <c r="B3" s="13" t="s">
        <v>163</v>
      </c>
      <c r="C3" s="13">
        <v>1</v>
      </c>
      <c r="D3" s="22">
        <v>75.6928757179587</v>
      </c>
      <c r="E3" s="17">
        <v>17.618972881323099</v>
      </c>
      <c r="F3" s="14">
        <v>5</v>
      </c>
      <c r="H3" s="2" t="s">
        <v>161</v>
      </c>
      <c r="I3" s="24">
        <v>55.996632010675754</v>
      </c>
      <c r="J3" s="24">
        <v>24.31698468628883</v>
      </c>
      <c r="K3" s="24">
        <v>40.156808348482294</v>
      </c>
      <c r="O3" t="s">
        <v>164</v>
      </c>
      <c r="P3" s="28" t="s">
        <v>30</v>
      </c>
      <c r="Q3" s="29" t="s">
        <v>165</v>
      </c>
      <c r="R3" s="28" t="s">
        <v>166</v>
      </c>
      <c r="S3" s="28" t="s">
        <v>167</v>
      </c>
    </row>
    <row r="4" spans="1:19" x14ac:dyDescent="0.3">
      <c r="A4" s="9">
        <v>0</v>
      </c>
      <c r="B4" s="10" t="s">
        <v>168</v>
      </c>
      <c r="C4" s="10">
        <v>1</v>
      </c>
      <c r="D4" s="21">
        <v>43.233155069581102</v>
      </c>
      <c r="E4" s="16">
        <v>14.2848616005091</v>
      </c>
      <c r="F4" s="11">
        <v>5</v>
      </c>
      <c r="H4" s="2" t="s">
        <v>163</v>
      </c>
      <c r="I4" s="24">
        <v>69.861497020936355</v>
      </c>
      <c r="J4" s="24">
        <v>70.065294493809901</v>
      </c>
      <c r="K4" s="24">
        <v>69.963395757373135</v>
      </c>
      <c r="O4">
        <v>1</v>
      </c>
      <c r="P4" t="s">
        <v>169</v>
      </c>
      <c r="Q4" s="27">
        <v>63.388064258878146</v>
      </c>
      <c r="R4" s="27">
        <v>71.687704043550639</v>
      </c>
      <c r="S4" s="27">
        <v>75.388654341585223</v>
      </c>
    </row>
    <row r="5" spans="1:19" x14ac:dyDescent="0.3">
      <c r="A5" s="12">
        <v>0</v>
      </c>
      <c r="B5" s="13" t="s">
        <v>170</v>
      </c>
      <c r="C5" s="13">
        <v>1</v>
      </c>
      <c r="D5" s="22">
        <v>20.579793365463999</v>
      </c>
      <c r="E5" s="17">
        <v>19.442991987406501</v>
      </c>
      <c r="F5" s="14">
        <v>5</v>
      </c>
      <c r="H5" s="2" t="s">
        <v>168</v>
      </c>
      <c r="I5" s="24">
        <v>53.178036731119406</v>
      </c>
      <c r="J5" s="24">
        <v>44.507431190302555</v>
      </c>
      <c r="K5" s="24">
        <v>48.84273396071098</v>
      </c>
      <c r="O5">
        <v>2</v>
      </c>
      <c r="P5" t="s">
        <v>171</v>
      </c>
      <c r="Q5" s="27">
        <v>52.435714281169297</v>
      </c>
      <c r="R5" s="27">
        <v>59.107708082096643</v>
      </c>
      <c r="S5" s="27">
        <v>62.584361633317343</v>
      </c>
    </row>
    <row r="6" spans="1:19" x14ac:dyDescent="0.3">
      <c r="A6" s="9">
        <v>0</v>
      </c>
      <c r="B6" s="10" t="s">
        <v>172</v>
      </c>
      <c r="C6" s="10">
        <v>1</v>
      </c>
      <c r="D6" s="21">
        <v>25.436777784711001</v>
      </c>
      <c r="E6" s="16">
        <v>6.24376296794029</v>
      </c>
      <c r="F6" s="11">
        <v>5</v>
      </c>
      <c r="H6" s="2" t="s">
        <v>170</v>
      </c>
      <c r="I6" s="24">
        <v>35.564329140717845</v>
      </c>
      <c r="J6" s="24">
        <v>45.609731216419348</v>
      </c>
      <c r="K6" s="24">
        <v>40.587030178568597</v>
      </c>
      <c r="O6">
        <v>3</v>
      </c>
      <c r="P6" t="s">
        <v>168</v>
      </c>
      <c r="Q6" s="27">
        <v>53.178036731119406</v>
      </c>
      <c r="R6" s="27">
        <v>59.772117020960295</v>
      </c>
      <c r="S6" s="27">
        <v>60.480899320862349</v>
      </c>
    </row>
    <row r="7" spans="1:19" x14ac:dyDescent="0.3">
      <c r="A7" s="12">
        <v>0</v>
      </c>
      <c r="B7" s="13" t="s">
        <v>173</v>
      </c>
      <c r="C7" s="13">
        <v>1</v>
      </c>
      <c r="D7" s="22">
        <v>36.855502738119696</v>
      </c>
      <c r="E7" s="17">
        <v>37.508541560859598</v>
      </c>
      <c r="F7" s="14">
        <v>5</v>
      </c>
      <c r="H7" s="2" t="s">
        <v>172</v>
      </c>
      <c r="I7" s="24">
        <v>31.389192267087402</v>
      </c>
      <c r="J7" s="24">
        <v>46.441334726457796</v>
      </c>
      <c r="K7" s="24">
        <v>38.915263496772596</v>
      </c>
      <c r="O7">
        <v>4</v>
      </c>
      <c r="P7" t="s">
        <v>172</v>
      </c>
      <c r="Q7" s="27">
        <v>31.389192267087402</v>
      </c>
      <c r="R7" s="27">
        <v>32.641264588415972</v>
      </c>
      <c r="S7" s="27">
        <v>39.419987905017869</v>
      </c>
    </row>
    <row r="8" spans="1:19" x14ac:dyDescent="0.3">
      <c r="A8" s="9">
        <v>0</v>
      </c>
      <c r="B8" s="10" t="s">
        <v>174</v>
      </c>
      <c r="C8" s="10">
        <v>1</v>
      </c>
      <c r="D8" s="21">
        <v>35.0019253189447</v>
      </c>
      <c r="E8" s="16">
        <v>32.485264735728201</v>
      </c>
      <c r="F8" s="11">
        <v>5</v>
      </c>
      <c r="H8" s="2" t="s">
        <v>173</v>
      </c>
      <c r="I8" s="24">
        <v>41.908827761539797</v>
      </c>
      <c r="J8" s="24">
        <v>28.167631129698101</v>
      </c>
      <c r="K8" s="24">
        <v>35.038229445618953</v>
      </c>
      <c r="O8">
        <v>5</v>
      </c>
      <c r="P8" t="s">
        <v>170</v>
      </c>
      <c r="Q8" s="27">
        <v>35.564329140717845</v>
      </c>
      <c r="R8" s="27">
        <v>44.107673663078643</v>
      </c>
      <c r="S8" s="27">
        <v>48.048061203985334</v>
      </c>
    </row>
    <row r="9" spans="1:19" x14ac:dyDescent="0.3">
      <c r="A9" s="12">
        <v>0</v>
      </c>
      <c r="B9" s="13" t="s">
        <v>175</v>
      </c>
      <c r="C9" s="13">
        <v>1</v>
      </c>
      <c r="D9" s="22">
        <v>28.442037671232899</v>
      </c>
      <c r="E9" s="17">
        <v>20.463369094081301</v>
      </c>
      <c r="F9" s="14">
        <v>4</v>
      </c>
      <c r="H9" s="2" t="s">
        <v>174</v>
      </c>
      <c r="I9" s="24">
        <v>48.727933980511196</v>
      </c>
      <c r="J9" s="24">
        <v>49.618936668687596</v>
      </c>
      <c r="K9" s="24">
        <v>49.173435324599396</v>
      </c>
      <c r="O9">
        <v>6</v>
      </c>
      <c r="P9" t="s">
        <v>176</v>
      </c>
      <c r="Q9" s="27">
        <v>47.118885539328645</v>
      </c>
      <c r="R9" s="27">
        <v>55.443570100995444</v>
      </c>
      <c r="S9" s="27">
        <v>59.31942707800269</v>
      </c>
    </row>
    <row r="10" spans="1:19" x14ac:dyDescent="0.3">
      <c r="A10" s="9">
        <v>0</v>
      </c>
      <c r="B10" s="10" t="s">
        <v>176</v>
      </c>
      <c r="C10" s="10">
        <v>1</v>
      </c>
      <c r="D10" s="21">
        <v>35.361860498915597</v>
      </c>
      <c r="E10" s="16">
        <v>23.096665425448499</v>
      </c>
      <c r="F10" s="11">
        <v>5</v>
      </c>
      <c r="H10" s="2" t="s">
        <v>175</v>
      </c>
      <c r="I10" s="24">
        <v>32.603438926940647</v>
      </c>
      <c r="J10" s="24">
        <v>21.574208147091802</v>
      </c>
      <c r="K10" s="24">
        <v>27.088823537016225</v>
      </c>
      <c r="O10">
        <v>7</v>
      </c>
      <c r="P10" t="s">
        <v>174</v>
      </c>
      <c r="Q10" s="27">
        <v>48.727933980511196</v>
      </c>
      <c r="R10" s="27">
        <v>51.242516792973881</v>
      </c>
      <c r="S10" s="27">
        <v>55.733455924282971</v>
      </c>
    </row>
    <row r="11" spans="1:19" x14ac:dyDescent="0.3">
      <c r="A11" s="12">
        <v>0</v>
      </c>
      <c r="B11" s="13" t="s">
        <v>171</v>
      </c>
      <c r="C11" s="13">
        <v>1</v>
      </c>
      <c r="D11" s="22">
        <v>62.3867676359217</v>
      </c>
      <c r="E11" s="17">
        <v>14.450111619799101</v>
      </c>
      <c r="F11" s="14">
        <v>5</v>
      </c>
      <c r="H11" s="2" t="s">
        <v>176</v>
      </c>
      <c r="I11" s="24">
        <v>47.118885539328645</v>
      </c>
      <c r="J11" s="24">
        <v>43.547414440532151</v>
      </c>
      <c r="K11" s="24">
        <v>45.333149989930398</v>
      </c>
      <c r="O11">
        <v>8</v>
      </c>
      <c r="P11" t="s">
        <v>163</v>
      </c>
      <c r="Q11" s="27">
        <v>69.861497020936355</v>
      </c>
      <c r="R11" s="27">
        <v>75.546035795669368</v>
      </c>
      <c r="S11" s="27">
        <v>75.617780292210597</v>
      </c>
    </row>
    <row r="12" spans="1:19" x14ac:dyDescent="0.3">
      <c r="A12" s="9">
        <v>0</v>
      </c>
      <c r="B12" s="10" t="s">
        <v>169</v>
      </c>
      <c r="C12" s="10">
        <v>1</v>
      </c>
      <c r="D12" s="21">
        <v>63.193593844736498</v>
      </c>
      <c r="E12" s="16">
        <v>18.8578804755467</v>
      </c>
      <c r="F12" s="11">
        <v>5</v>
      </c>
      <c r="H12" s="2" t="s">
        <v>171</v>
      </c>
      <c r="I12" s="24">
        <v>52.435714281169297</v>
      </c>
      <c r="J12" s="24">
        <v>56.8408817222682</v>
      </c>
      <c r="K12" s="24">
        <v>54.638298001718745</v>
      </c>
      <c r="O12">
        <v>9</v>
      </c>
      <c r="P12" t="s">
        <v>173</v>
      </c>
      <c r="Q12" s="27">
        <v>41.908827761539797</v>
      </c>
      <c r="R12" s="27">
        <v>47.149987988435193</v>
      </c>
      <c r="S12" s="27">
        <v>56.020625318395062</v>
      </c>
    </row>
    <row r="13" spans="1:19" x14ac:dyDescent="0.3">
      <c r="A13" s="12">
        <v>0</v>
      </c>
      <c r="B13" s="13" t="s">
        <v>177</v>
      </c>
      <c r="C13" s="13">
        <v>1</v>
      </c>
      <c r="D13" s="22">
        <v>82.149752489611004</v>
      </c>
      <c r="E13" s="17">
        <v>16.257282671315199</v>
      </c>
      <c r="F13" s="14">
        <v>5</v>
      </c>
      <c r="H13" s="2" t="s">
        <v>169</v>
      </c>
      <c r="I13" s="24">
        <v>63.388064258878146</v>
      </c>
      <c r="J13" s="24">
        <v>58.298435602741151</v>
      </c>
      <c r="K13" s="24">
        <v>60.843249930809648</v>
      </c>
      <c r="O13">
        <v>10</v>
      </c>
      <c r="P13" t="s">
        <v>177</v>
      </c>
      <c r="Q13" s="27">
        <v>88.405621650553996</v>
      </c>
      <c r="R13" s="27">
        <v>91.005354236363445</v>
      </c>
      <c r="S13" s="27">
        <v>92</v>
      </c>
    </row>
    <row r="14" spans="1:19" x14ac:dyDescent="0.3">
      <c r="A14" s="9">
        <v>0</v>
      </c>
      <c r="B14" s="10" t="s">
        <v>178</v>
      </c>
      <c r="C14" s="10">
        <v>1</v>
      </c>
      <c r="D14" s="21">
        <v>24.3695890410959</v>
      </c>
      <c r="E14" s="16">
        <v>22.1488566650042</v>
      </c>
      <c r="F14" s="11">
        <v>5</v>
      </c>
      <c r="H14" s="2" t="s">
        <v>177</v>
      </c>
      <c r="I14" s="24">
        <v>88.405621650553996</v>
      </c>
      <c r="J14" s="24">
        <v>59.927523582281751</v>
      </c>
      <c r="K14" s="24">
        <v>74.166572616417866</v>
      </c>
      <c r="O14">
        <v>11</v>
      </c>
      <c r="P14" t="s">
        <v>161</v>
      </c>
      <c r="Q14" s="27">
        <v>55.996632010675754</v>
      </c>
      <c r="R14" s="27">
        <v>63.262930561826074</v>
      </c>
      <c r="S14" s="27">
        <v>64.87664158611949</v>
      </c>
    </row>
    <row r="15" spans="1:19" x14ac:dyDescent="0.3">
      <c r="A15" s="12">
        <v>0</v>
      </c>
      <c r="B15" s="13" t="s">
        <v>161</v>
      </c>
      <c r="C15" s="13">
        <v>2</v>
      </c>
      <c r="D15" s="22">
        <v>75.341736000292798</v>
      </c>
      <c r="E15" s="17">
        <v>22.9446164287424</v>
      </c>
      <c r="F15" s="14">
        <v>2</v>
      </c>
      <c r="H15" s="2" t="s">
        <v>178</v>
      </c>
      <c r="I15" s="24">
        <v>33.837762557077596</v>
      </c>
      <c r="J15" s="24">
        <v>30.50772209805065</v>
      </c>
      <c r="K15" s="24">
        <v>32.172742327564123</v>
      </c>
      <c r="O15">
        <v>12</v>
      </c>
      <c r="P15" t="s">
        <v>175</v>
      </c>
      <c r="Q15" s="27">
        <v>32.603438926940647</v>
      </c>
      <c r="R15" s="27">
        <v>41.70040220460556</v>
      </c>
      <c r="S15" s="27">
        <v>43.419018140145461</v>
      </c>
    </row>
    <row r="16" spans="1:19" x14ac:dyDescent="0.3">
      <c r="A16" s="9">
        <v>0</v>
      </c>
      <c r="B16" s="10" t="s">
        <v>163</v>
      </c>
      <c r="C16" s="10">
        <v>2</v>
      </c>
      <c r="D16" s="21">
        <v>64.030118323913996</v>
      </c>
      <c r="E16" s="16">
        <v>24.657545130083601</v>
      </c>
      <c r="F16" s="11">
        <v>7</v>
      </c>
      <c r="H16" s="2" t="s">
        <v>34</v>
      </c>
      <c r="I16" s="24">
        <v>50.339687394348928</v>
      </c>
      <c r="J16" s="24">
        <v>44.571040746509986</v>
      </c>
      <c r="K16" s="24">
        <v>47.455364070429454</v>
      </c>
      <c r="O16">
        <v>13</v>
      </c>
      <c r="P16" t="s">
        <v>178</v>
      </c>
      <c r="Q16" s="27">
        <v>33.837762557077596</v>
      </c>
      <c r="R16" s="27">
        <v>41.103746125549236</v>
      </c>
      <c r="S16" s="27">
        <v>49.961941823599645</v>
      </c>
    </row>
    <row r="17" spans="1:6" x14ac:dyDescent="0.3">
      <c r="A17" s="12">
        <v>0</v>
      </c>
      <c r="B17" s="13" t="s">
        <v>168</v>
      </c>
      <c r="C17" s="13">
        <v>2</v>
      </c>
      <c r="D17" s="22">
        <v>63.122918392657702</v>
      </c>
      <c r="E17" s="17">
        <v>23.229582289002199</v>
      </c>
      <c r="F17" s="14">
        <v>7</v>
      </c>
    </row>
    <row r="18" spans="1:6" x14ac:dyDescent="0.3">
      <c r="A18" s="9">
        <v>0</v>
      </c>
      <c r="B18" s="10" t="s">
        <v>170</v>
      </c>
      <c r="C18" s="10">
        <v>2</v>
      </c>
      <c r="D18" s="21">
        <v>50.548864915971699</v>
      </c>
      <c r="E18" s="16">
        <v>34.131898842963203</v>
      </c>
      <c r="F18" s="11">
        <v>6</v>
      </c>
    </row>
    <row r="19" spans="1:6" x14ac:dyDescent="0.3">
      <c r="A19" s="12">
        <v>0</v>
      </c>
      <c r="B19" s="13" t="s">
        <v>172</v>
      </c>
      <c r="C19" s="13">
        <v>2</v>
      </c>
      <c r="D19" s="22">
        <v>37.3416067494638</v>
      </c>
      <c r="E19" s="17">
        <v>24.626233947114699</v>
      </c>
      <c r="F19" s="14">
        <v>7</v>
      </c>
    </row>
    <row r="20" spans="1:6" x14ac:dyDescent="0.3">
      <c r="A20" s="9">
        <v>0</v>
      </c>
      <c r="B20" s="10" t="s">
        <v>173</v>
      </c>
      <c r="C20" s="10">
        <v>2</v>
      </c>
      <c r="D20" s="21">
        <v>46.962152784959898</v>
      </c>
      <c r="E20" s="16">
        <v>29.377725572638401</v>
      </c>
      <c r="F20" s="11">
        <v>7</v>
      </c>
    </row>
    <row r="21" spans="1:6" x14ac:dyDescent="0.3">
      <c r="A21" s="12">
        <v>0</v>
      </c>
      <c r="B21" s="13" t="s">
        <v>174</v>
      </c>
      <c r="C21" s="13">
        <v>2</v>
      </c>
      <c r="D21" s="22">
        <v>62.453942642077699</v>
      </c>
      <c r="E21" s="17">
        <v>35.301770752940399</v>
      </c>
      <c r="F21" s="14">
        <v>7</v>
      </c>
    </row>
    <row r="22" spans="1:6" x14ac:dyDescent="0.3">
      <c r="A22" s="9">
        <v>0</v>
      </c>
      <c r="B22" s="10" t="s">
        <v>175</v>
      </c>
      <c r="C22" s="10">
        <v>2</v>
      </c>
      <c r="D22" s="21">
        <v>36.764840182648399</v>
      </c>
      <c r="E22" s="16">
        <v>23.967786818932801</v>
      </c>
      <c r="F22" s="11">
        <v>3</v>
      </c>
    </row>
    <row r="23" spans="1:6" x14ac:dyDescent="0.3">
      <c r="A23" s="12">
        <v>0</v>
      </c>
      <c r="B23" s="13" t="s">
        <v>176</v>
      </c>
      <c r="C23" s="13">
        <v>2</v>
      </c>
      <c r="D23" s="22">
        <v>58.875910579741699</v>
      </c>
      <c r="E23" s="17">
        <v>29.768155214642</v>
      </c>
      <c r="F23" s="14">
        <v>6</v>
      </c>
    </row>
    <row r="24" spans="1:6" x14ac:dyDescent="0.3">
      <c r="A24" s="9">
        <v>0</v>
      </c>
      <c r="B24" s="10" t="s">
        <v>171</v>
      </c>
      <c r="C24" s="10">
        <v>2</v>
      </c>
      <c r="D24" s="21">
        <v>42.4846609264169</v>
      </c>
      <c r="E24" s="16">
        <v>30.920913332595401</v>
      </c>
      <c r="F24" s="11">
        <v>7</v>
      </c>
    </row>
    <row r="25" spans="1:6" x14ac:dyDescent="0.3">
      <c r="A25" s="12">
        <v>0</v>
      </c>
      <c r="B25" s="13" t="s">
        <v>169</v>
      </c>
      <c r="C25" s="13">
        <v>2</v>
      </c>
      <c r="D25" s="22">
        <v>63.582534673019801</v>
      </c>
      <c r="E25" s="17">
        <v>31.4789566330779</v>
      </c>
      <c r="F25" s="14">
        <v>7</v>
      </c>
    </row>
    <row r="26" spans="1:6" x14ac:dyDescent="0.3">
      <c r="A26" s="9">
        <v>0</v>
      </c>
      <c r="B26" s="10" t="s">
        <v>177</v>
      </c>
      <c r="C26" s="10">
        <v>2</v>
      </c>
      <c r="D26" s="21">
        <v>94.661490811497004</v>
      </c>
      <c r="E26" s="16">
        <v>9.3459363240668498</v>
      </c>
      <c r="F26" s="11">
        <v>6</v>
      </c>
    </row>
    <row r="27" spans="1:6" x14ac:dyDescent="0.3">
      <c r="A27" s="12">
        <v>0</v>
      </c>
      <c r="B27" s="13" t="s">
        <v>178</v>
      </c>
      <c r="C27" s="13">
        <v>2</v>
      </c>
      <c r="D27" s="22">
        <v>43.3059360730593</v>
      </c>
      <c r="E27" s="17">
        <v>28.930245661420699</v>
      </c>
      <c r="F27" s="14">
        <v>6</v>
      </c>
    </row>
    <row r="28" spans="1:6" x14ac:dyDescent="0.3">
      <c r="A28" s="9">
        <v>1</v>
      </c>
      <c r="B28" s="10" t="s">
        <v>161</v>
      </c>
      <c r="C28" s="10">
        <v>1</v>
      </c>
      <c r="D28" s="21">
        <v>5.3986719007558603</v>
      </c>
      <c r="E28" s="16">
        <v>0.58364300504344402</v>
      </c>
      <c r="F28" s="11">
        <v>2</v>
      </c>
    </row>
    <row r="29" spans="1:6" x14ac:dyDescent="0.3">
      <c r="A29" s="12">
        <v>1</v>
      </c>
      <c r="B29" s="13" t="s">
        <v>163</v>
      </c>
      <c r="C29" s="13">
        <v>1</v>
      </c>
      <c r="D29" s="22">
        <v>91.460941114827307</v>
      </c>
      <c r="E29" s="17">
        <v>9.1060531699992602</v>
      </c>
      <c r="F29" s="14">
        <v>4</v>
      </c>
    </row>
    <row r="30" spans="1:6" x14ac:dyDescent="0.3">
      <c r="A30" s="9">
        <v>1</v>
      </c>
      <c r="B30" s="10" t="s">
        <v>168</v>
      </c>
      <c r="C30" s="10">
        <v>1</v>
      </c>
      <c r="D30" s="21">
        <v>48.634717580247603</v>
      </c>
      <c r="E30" s="16">
        <v>27.6053382296368</v>
      </c>
      <c r="F30" s="11">
        <v>4</v>
      </c>
    </row>
    <row r="31" spans="1:6" x14ac:dyDescent="0.3">
      <c r="A31" s="12">
        <v>1</v>
      </c>
      <c r="B31" s="13" t="s">
        <v>170</v>
      </c>
      <c r="C31" s="13">
        <v>1</v>
      </c>
      <c r="D31" s="22">
        <v>61.862417615012902</v>
      </c>
      <c r="E31" s="17">
        <v>21.887891161404799</v>
      </c>
      <c r="F31" s="14">
        <v>4</v>
      </c>
    </row>
    <row r="32" spans="1:6" x14ac:dyDescent="0.3">
      <c r="A32" s="9">
        <v>1</v>
      </c>
      <c r="B32" s="10" t="s">
        <v>172</v>
      </c>
      <c r="C32" s="10">
        <v>1</v>
      </c>
      <c r="D32" s="21">
        <v>48.079883649827899</v>
      </c>
      <c r="E32" s="16">
        <v>44.696067614000803</v>
      </c>
      <c r="F32" s="11">
        <v>4</v>
      </c>
    </row>
    <row r="33" spans="1:6" x14ac:dyDescent="0.3">
      <c r="A33" s="12">
        <v>1</v>
      </c>
      <c r="B33" s="13" t="s">
        <v>173</v>
      </c>
      <c r="C33" s="13">
        <v>1</v>
      </c>
      <c r="D33" s="22">
        <v>20.632147088050498</v>
      </c>
      <c r="E33" s="17">
        <v>18.798179553454201</v>
      </c>
      <c r="F33" s="14">
        <v>4</v>
      </c>
    </row>
    <row r="34" spans="1:6" x14ac:dyDescent="0.3">
      <c r="A34" s="9">
        <v>1</v>
      </c>
      <c r="B34" s="10" t="s">
        <v>174</v>
      </c>
      <c r="C34" s="10">
        <v>1</v>
      </c>
      <c r="D34" s="21">
        <v>54.218225781435201</v>
      </c>
      <c r="E34" s="16">
        <v>35.262556477528598</v>
      </c>
      <c r="F34" s="11">
        <v>4</v>
      </c>
    </row>
    <row r="35" spans="1:6" x14ac:dyDescent="0.3">
      <c r="A35" s="12">
        <v>1</v>
      </c>
      <c r="B35" s="13" t="s">
        <v>175</v>
      </c>
      <c r="C35" s="13">
        <v>1</v>
      </c>
      <c r="D35" s="22">
        <v>27.997602739726101</v>
      </c>
      <c r="E35" s="17">
        <v>5.9430871999589501</v>
      </c>
      <c r="F35" s="14">
        <v>2</v>
      </c>
    </row>
    <row r="36" spans="1:6" x14ac:dyDescent="0.3">
      <c r="A36" s="9">
        <v>1</v>
      </c>
      <c r="B36" s="10" t="s">
        <v>176</v>
      </c>
      <c r="C36" s="10">
        <v>1</v>
      </c>
      <c r="D36" s="21">
        <v>60.373775110461999</v>
      </c>
      <c r="E36" s="16">
        <v>17.462228319892699</v>
      </c>
      <c r="F36" s="11">
        <v>4</v>
      </c>
    </row>
    <row r="37" spans="1:6" x14ac:dyDescent="0.3">
      <c r="A37" s="12">
        <v>1</v>
      </c>
      <c r="B37" s="13" t="s">
        <v>171</v>
      </c>
      <c r="C37" s="13">
        <v>1</v>
      </c>
      <c r="D37" s="22">
        <v>56.709385994533001</v>
      </c>
      <c r="E37" s="17">
        <v>24.0042634990232</v>
      </c>
      <c r="F37" s="14">
        <v>4</v>
      </c>
    </row>
    <row r="38" spans="1:6" x14ac:dyDescent="0.3">
      <c r="A38" s="9">
        <v>1</v>
      </c>
      <c r="B38" s="10" t="s">
        <v>169</v>
      </c>
      <c r="C38" s="10">
        <v>1</v>
      </c>
      <c r="D38" s="21">
        <v>62.798385324484499</v>
      </c>
      <c r="E38" s="16">
        <v>25.7595209793995</v>
      </c>
      <c r="F38" s="11">
        <v>4</v>
      </c>
    </row>
    <row r="39" spans="1:6" x14ac:dyDescent="0.3">
      <c r="A39" s="12">
        <v>1</v>
      </c>
      <c r="B39" s="13" t="s">
        <v>177</v>
      </c>
      <c r="C39" s="13">
        <v>1</v>
      </c>
      <c r="D39" s="22">
        <v>59.749999921429101</v>
      </c>
      <c r="E39" s="17">
        <v>45.899346491301202</v>
      </c>
      <c r="F39" s="14">
        <v>4</v>
      </c>
    </row>
    <row r="40" spans="1:6" x14ac:dyDescent="0.3">
      <c r="A40" s="9">
        <v>1</v>
      </c>
      <c r="B40" s="10" t="s">
        <v>178</v>
      </c>
      <c r="C40" s="10">
        <v>1</v>
      </c>
      <c r="D40" s="21">
        <v>40.348320908430097</v>
      </c>
      <c r="E40" s="16">
        <v>35.822878305744098</v>
      </c>
      <c r="F40" s="11">
        <v>4</v>
      </c>
    </row>
    <row r="41" spans="1:6" x14ac:dyDescent="0.3">
      <c r="A41" s="12">
        <v>1</v>
      </c>
      <c r="B41" s="13" t="s">
        <v>161</v>
      </c>
      <c r="C41" s="13">
        <v>2</v>
      </c>
      <c r="D41" s="22">
        <v>43.235297471821802</v>
      </c>
      <c r="E41" s="17">
        <v>19.7491306827092</v>
      </c>
      <c r="F41" s="14">
        <v>10</v>
      </c>
    </row>
    <row r="42" spans="1:6" x14ac:dyDescent="0.3">
      <c r="A42" s="9">
        <v>1</v>
      </c>
      <c r="B42" s="10" t="s">
        <v>163</v>
      </c>
      <c r="C42" s="10">
        <v>2</v>
      </c>
      <c r="D42" s="21">
        <v>48.669647872792503</v>
      </c>
      <c r="E42" s="16">
        <v>26.5497345173201</v>
      </c>
      <c r="F42" s="11">
        <v>14</v>
      </c>
    </row>
    <row r="43" spans="1:6" x14ac:dyDescent="0.3">
      <c r="A43" s="12">
        <v>1</v>
      </c>
      <c r="B43" s="13" t="s">
        <v>168</v>
      </c>
      <c r="C43" s="13">
        <v>2</v>
      </c>
      <c r="D43" s="22">
        <v>40.380144800357499</v>
      </c>
      <c r="E43" s="17">
        <v>28.362469315557298</v>
      </c>
      <c r="F43" s="14">
        <v>14</v>
      </c>
    </row>
    <row r="44" spans="1:6" x14ac:dyDescent="0.3">
      <c r="A44" s="9">
        <v>1</v>
      </c>
      <c r="B44" s="10" t="s">
        <v>170</v>
      </c>
      <c r="C44" s="10">
        <v>2</v>
      </c>
      <c r="D44" s="21">
        <v>29.357044817825798</v>
      </c>
      <c r="E44" s="16">
        <v>24.394137269943101</v>
      </c>
      <c r="F44" s="11">
        <v>14</v>
      </c>
    </row>
    <row r="45" spans="1:6" x14ac:dyDescent="0.3">
      <c r="A45" s="12">
        <v>1</v>
      </c>
      <c r="B45" s="13" t="s">
        <v>172</v>
      </c>
      <c r="C45" s="13">
        <v>2</v>
      </c>
      <c r="D45" s="22">
        <v>44.802785803087701</v>
      </c>
      <c r="E45" s="17">
        <v>31.228005675003502</v>
      </c>
      <c r="F45" s="14">
        <v>14</v>
      </c>
    </row>
    <row r="46" spans="1:6" x14ac:dyDescent="0.3">
      <c r="A46" s="9">
        <v>1</v>
      </c>
      <c r="B46" s="10" t="s">
        <v>173</v>
      </c>
      <c r="C46" s="10">
        <v>2</v>
      </c>
      <c r="D46" s="21">
        <v>35.703115171345701</v>
      </c>
      <c r="E46" s="16">
        <v>22.159618060461501</v>
      </c>
      <c r="F46" s="11">
        <v>14</v>
      </c>
    </row>
    <row r="47" spans="1:6" x14ac:dyDescent="0.3">
      <c r="A47" s="12">
        <v>1</v>
      </c>
      <c r="B47" s="13" t="s">
        <v>174</v>
      </c>
      <c r="C47" s="13">
        <v>2</v>
      </c>
      <c r="D47" s="22">
        <v>45.019647555939997</v>
      </c>
      <c r="E47" s="17">
        <v>32.779137151129603</v>
      </c>
      <c r="F47" s="14">
        <v>14</v>
      </c>
    </row>
    <row r="48" spans="1:6" x14ac:dyDescent="0.3">
      <c r="A48" s="9">
        <v>1</v>
      </c>
      <c r="B48" s="10" t="s">
        <v>175</v>
      </c>
      <c r="C48" s="10">
        <v>2</v>
      </c>
      <c r="D48" s="21">
        <v>15.1508135544575</v>
      </c>
      <c r="E48" s="16">
        <v>10.6764258555102</v>
      </c>
      <c r="F48" s="11">
        <v>4</v>
      </c>
    </row>
    <row r="49" spans="1:6" x14ac:dyDescent="0.3">
      <c r="A49" s="12">
        <v>1</v>
      </c>
      <c r="B49" s="13" t="s">
        <v>176</v>
      </c>
      <c r="C49" s="13">
        <v>2</v>
      </c>
      <c r="D49" s="22">
        <v>26.7210537706023</v>
      </c>
      <c r="E49" s="17">
        <v>13.3747843626776</v>
      </c>
      <c r="F49" s="14">
        <v>14</v>
      </c>
    </row>
    <row r="50" spans="1:6" x14ac:dyDescent="0.3">
      <c r="A50" s="9">
        <v>1</v>
      </c>
      <c r="B50" s="10" t="s">
        <v>171</v>
      </c>
      <c r="C50" s="10">
        <v>2</v>
      </c>
      <c r="D50" s="21">
        <v>56.9723774500034</v>
      </c>
      <c r="E50" s="16">
        <v>26.608216129667301</v>
      </c>
      <c r="F50" s="11">
        <v>14</v>
      </c>
    </row>
    <row r="51" spans="1:6" x14ac:dyDescent="0.3">
      <c r="A51" s="12">
        <v>1</v>
      </c>
      <c r="B51" s="13" t="s">
        <v>169</v>
      </c>
      <c r="C51" s="13">
        <v>2</v>
      </c>
      <c r="D51" s="22">
        <v>53.798485880997802</v>
      </c>
      <c r="E51" s="17">
        <v>30.772498577804399</v>
      </c>
      <c r="F51" s="14">
        <v>14</v>
      </c>
    </row>
    <row r="52" spans="1:6" x14ac:dyDescent="0.3">
      <c r="A52" s="9">
        <v>1</v>
      </c>
      <c r="B52" s="10" t="s">
        <v>177</v>
      </c>
      <c r="C52" s="10">
        <v>2</v>
      </c>
      <c r="D52" s="21">
        <v>60.105047243134401</v>
      </c>
      <c r="E52" s="16">
        <v>33.638440093601702</v>
      </c>
      <c r="F52" s="11">
        <v>12</v>
      </c>
    </row>
    <row r="53" spans="1:6" x14ac:dyDescent="0.3">
      <c r="A53" s="3">
        <v>1</v>
      </c>
      <c r="B53" s="4" t="s">
        <v>178</v>
      </c>
      <c r="C53" s="4">
        <v>2</v>
      </c>
      <c r="D53" s="23">
        <v>20.667123287671199</v>
      </c>
      <c r="E53" s="18">
        <v>16.354591026957401</v>
      </c>
      <c r="F53" s="5">
        <v>9</v>
      </c>
    </row>
  </sheetData>
  <autoFilter ref="O3:S16" xr:uid="{BFD59A6E-79ED-4DF5-8880-060380039AFB}">
    <sortState xmlns:xlrd2="http://schemas.microsoft.com/office/spreadsheetml/2017/richdata2" ref="O4:S16">
      <sortCondition ref="O3:O16"/>
    </sortState>
  </autoFilter>
  <mergeCells count="1">
    <mergeCell ref="Q2:S2"/>
  </mergeCell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0E4C-D15C-4B26-9637-82C6CAE4D327}">
  <dimension ref="A1:P46"/>
  <sheetViews>
    <sheetView workbookViewId="0">
      <pane ySplit="1" topLeftCell="A2" activePane="bottomLeft" state="frozen"/>
      <selection pane="bottomLeft" activeCell="P6" sqref="P6"/>
    </sheetView>
  </sheetViews>
  <sheetFormatPr defaultRowHeight="14.4" x14ac:dyDescent="0.3"/>
  <cols>
    <col min="1" max="1" width="9.33203125" bestFit="1" customWidth="1"/>
    <col min="2" max="2" width="17.44140625" bestFit="1" customWidth="1"/>
    <col min="4" max="4" width="10.88671875" bestFit="1" customWidth="1"/>
    <col min="5" max="5" width="11.33203125" bestFit="1" customWidth="1"/>
  </cols>
  <sheetData>
    <row r="1" spans="1:16" x14ac:dyDescent="0.3">
      <c r="A1" t="s">
        <v>94</v>
      </c>
      <c r="B1" s="7" t="s">
        <v>155</v>
      </c>
      <c r="C1" s="7" t="s">
        <v>182</v>
      </c>
      <c r="D1" s="15" t="s">
        <v>183</v>
      </c>
      <c r="E1" s="20" t="s">
        <v>184</v>
      </c>
    </row>
    <row r="2" spans="1:16" x14ac:dyDescent="0.3">
      <c r="A2" t="s">
        <v>165</v>
      </c>
      <c r="B2" s="10" t="s">
        <v>161</v>
      </c>
      <c r="C2" s="10">
        <v>6</v>
      </c>
      <c r="D2" s="25">
        <v>3</v>
      </c>
      <c r="E2" s="25">
        <v>3</v>
      </c>
    </row>
    <row r="3" spans="1:16" x14ac:dyDescent="0.3">
      <c r="A3" t="s">
        <v>180</v>
      </c>
      <c r="B3" s="10" t="s">
        <v>161</v>
      </c>
      <c r="C3" s="34">
        <v>360.99284893843878</v>
      </c>
      <c r="D3" s="34">
        <v>373.6607125337469</v>
      </c>
      <c r="E3" s="34">
        <v>153.48407170759256</v>
      </c>
      <c r="P3" t="s">
        <v>185</v>
      </c>
    </row>
    <row r="4" spans="1:16" x14ac:dyDescent="0.3">
      <c r="A4" t="s">
        <v>181</v>
      </c>
      <c r="B4" s="10" t="s">
        <v>161</v>
      </c>
      <c r="C4" s="34">
        <v>553.47041944433749</v>
      </c>
      <c r="D4" s="34">
        <v>378.14540034454956</v>
      </c>
      <c r="E4" s="34">
        <v>685.21985935851171</v>
      </c>
      <c r="P4" t="s">
        <v>186</v>
      </c>
    </row>
    <row r="5" spans="1:16" x14ac:dyDescent="0.3">
      <c r="A5" t="s">
        <v>165</v>
      </c>
      <c r="B5" s="13" t="s">
        <v>163</v>
      </c>
      <c r="C5" s="13">
        <v>13</v>
      </c>
      <c r="D5" s="26">
        <v>3</v>
      </c>
      <c r="E5" s="26">
        <v>2</v>
      </c>
      <c r="P5" t="s">
        <v>187</v>
      </c>
    </row>
    <row r="6" spans="1:16" x14ac:dyDescent="0.3">
      <c r="A6" t="s">
        <v>180</v>
      </c>
      <c r="B6" s="13" t="s">
        <v>163</v>
      </c>
      <c r="C6" s="34">
        <v>266.26186212296608</v>
      </c>
      <c r="D6" s="34">
        <v>2118.4215830577941</v>
      </c>
      <c r="E6" s="34">
        <v>55.866750385253368</v>
      </c>
    </row>
    <row r="7" spans="1:16" x14ac:dyDescent="0.3">
      <c r="A7" t="s">
        <v>181</v>
      </c>
      <c r="B7" s="13" t="s">
        <v>163</v>
      </c>
      <c r="C7" s="34">
        <v>18.119202974040682</v>
      </c>
      <c r="D7" s="34">
        <v>1788.5659288742561</v>
      </c>
      <c r="E7" s="34">
        <v>1447.9481983803785</v>
      </c>
    </row>
    <row r="8" spans="1:16" x14ac:dyDescent="0.3">
      <c r="A8" t="s">
        <v>165</v>
      </c>
      <c r="B8" s="10" t="s">
        <v>168</v>
      </c>
      <c r="C8" s="10">
        <v>7</v>
      </c>
      <c r="D8" s="25">
        <v>5</v>
      </c>
      <c r="E8" s="25">
        <v>6</v>
      </c>
    </row>
    <row r="9" spans="1:16" x14ac:dyDescent="0.3">
      <c r="A9" t="s">
        <v>180</v>
      </c>
      <c r="B9" s="10" t="s">
        <v>168</v>
      </c>
      <c r="C9" s="34">
        <v>8.8987609935253786</v>
      </c>
      <c r="D9" s="34">
        <v>1606.8414002932129</v>
      </c>
      <c r="E9" s="34">
        <v>24.079094531811272</v>
      </c>
    </row>
    <row r="10" spans="1:16" x14ac:dyDescent="0.3">
      <c r="A10" t="s">
        <v>181</v>
      </c>
      <c r="B10" s="10" t="s">
        <v>168</v>
      </c>
      <c r="C10" s="34">
        <v>4331.1082003265701</v>
      </c>
      <c r="D10" s="34">
        <v>3411.5028475253794</v>
      </c>
      <c r="E10" s="34">
        <v>1303.4925662503047</v>
      </c>
    </row>
    <row r="11" spans="1:16" x14ac:dyDescent="0.3">
      <c r="A11" t="s">
        <v>165</v>
      </c>
      <c r="B11" s="13" t="s">
        <v>170</v>
      </c>
      <c r="C11" s="13">
        <v>8</v>
      </c>
      <c r="D11" s="26">
        <v>5</v>
      </c>
      <c r="E11" s="26">
        <v>5</v>
      </c>
    </row>
    <row r="12" spans="1:16" x14ac:dyDescent="0.3">
      <c r="A12" t="s">
        <v>180</v>
      </c>
      <c r="B12" s="13" t="s">
        <v>170</v>
      </c>
      <c r="C12" s="34">
        <v>468.79469811179467</v>
      </c>
      <c r="D12" s="34">
        <v>2688.6747035937242</v>
      </c>
      <c r="E12" s="34">
        <v>2.6662506510911399</v>
      </c>
    </row>
    <row r="13" spans="1:16" x14ac:dyDescent="0.3">
      <c r="A13" t="s">
        <v>181</v>
      </c>
      <c r="B13" s="13" t="s">
        <v>170</v>
      </c>
      <c r="C13" s="34">
        <v>1865.6305843206321</v>
      </c>
      <c r="D13" s="34">
        <v>5141.7016950314846</v>
      </c>
      <c r="E13" s="34">
        <v>505.94903331722276</v>
      </c>
    </row>
    <row r="14" spans="1:16" x14ac:dyDescent="0.3">
      <c r="A14" t="s">
        <v>165</v>
      </c>
      <c r="B14" s="10" t="s">
        <v>172</v>
      </c>
      <c r="C14" s="10">
        <v>6</v>
      </c>
      <c r="D14" s="25">
        <v>5</v>
      </c>
      <c r="E14" s="25">
        <v>7</v>
      </c>
    </row>
    <row r="15" spans="1:16" x14ac:dyDescent="0.3">
      <c r="A15" t="s">
        <v>180</v>
      </c>
      <c r="B15" s="10" t="s">
        <v>172</v>
      </c>
      <c r="C15" s="34">
        <v>213.72875894577763</v>
      </c>
      <c r="D15" s="34">
        <v>887.35640081744191</v>
      </c>
      <c r="E15" s="34">
        <v>51.242815917880847</v>
      </c>
    </row>
    <row r="16" spans="1:16" x14ac:dyDescent="0.3">
      <c r="A16" t="s">
        <v>181</v>
      </c>
      <c r="B16" s="10" t="s">
        <v>172</v>
      </c>
      <c r="C16" s="34">
        <v>679.19034604508374</v>
      </c>
      <c r="D16" s="34">
        <v>4266.6373484883979</v>
      </c>
      <c r="E16" s="34">
        <v>615.31047136750726</v>
      </c>
    </row>
    <row r="17" spans="1:5" x14ac:dyDescent="0.3">
      <c r="A17" t="s">
        <v>165</v>
      </c>
      <c r="B17" s="13" t="s">
        <v>173</v>
      </c>
      <c r="C17" s="35">
        <v>4</v>
      </c>
      <c r="D17" s="33">
        <v>12</v>
      </c>
      <c r="E17" s="33">
        <v>2</v>
      </c>
    </row>
    <row r="18" spans="1:5" x14ac:dyDescent="0.3">
      <c r="A18" t="s">
        <v>165</v>
      </c>
      <c r="B18" s="13" t="s">
        <v>173</v>
      </c>
      <c r="C18" s="35">
        <v>2</v>
      </c>
      <c r="D18" s="33">
        <v>1</v>
      </c>
      <c r="E18" s="33">
        <v>4</v>
      </c>
    </row>
    <row r="19" spans="1:5" x14ac:dyDescent="0.3">
      <c r="A19" t="s">
        <v>180</v>
      </c>
      <c r="B19" s="13" t="s">
        <v>173</v>
      </c>
      <c r="C19" s="31">
        <v>252.88249593296268</v>
      </c>
      <c r="D19" s="31">
        <v>472.44411929600051</v>
      </c>
      <c r="E19" s="31">
        <v>8.0078013749033339</v>
      </c>
    </row>
    <row r="20" spans="1:5" x14ac:dyDescent="0.3">
      <c r="A20" t="s">
        <v>180</v>
      </c>
      <c r="B20" s="13" t="s">
        <v>173</v>
      </c>
      <c r="C20" s="31">
        <v>332.840827341742</v>
      </c>
      <c r="D20" s="31">
        <v>862.90670619178843</v>
      </c>
      <c r="E20" s="31">
        <v>43.868242969384788</v>
      </c>
    </row>
    <row r="21" spans="1:5" x14ac:dyDescent="0.3">
      <c r="A21" t="s">
        <v>181</v>
      </c>
      <c r="B21" s="13" t="s">
        <v>173</v>
      </c>
      <c r="C21" s="31">
        <v>4497.5207091233333</v>
      </c>
      <c r="D21" s="31">
        <v>4338.2158836802719</v>
      </c>
      <c r="E21" s="31">
        <v>854.18444945360636</v>
      </c>
    </row>
    <row r="22" spans="1:5" x14ac:dyDescent="0.3">
      <c r="A22" t="s">
        <v>181</v>
      </c>
      <c r="B22" s="13" t="s">
        <v>173</v>
      </c>
      <c r="C22" s="31">
        <v>3694.6118269206718</v>
      </c>
      <c r="D22" s="31">
        <v>9619.4265227509059</v>
      </c>
      <c r="E22" s="31">
        <v>699.6969315705752</v>
      </c>
    </row>
    <row r="23" spans="1:5" x14ac:dyDescent="0.3">
      <c r="A23" t="s">
        <v>165</v>
      </c>
      <c r="B23" s="10" t="s">
        <v>174</v>
      </c>
      <c r="C23" s="36">
        <v>14</v>
      </c>
      <c r="D23" s="32">
        <v>2</v>
      </c>
      <c r="E23" s="32">
        <v>2</v>
      </c>
    </row>
    <row r="24" spans="1:5" x14ac:dyDescent="0.3">
      <c r="A24" t="s">
        <v>165</v>
      </c>
      <c r="B24" s="10" t="s">
        <v>174</v>
      </c>
      <c r="C24" s="36">
        <v>1</v>
      </c>
      <c r="D24" s="32">
        <v>1</v>
      </c>
      <c r="E24" s="32">
        <v>3</v>
      </c>
    </row>
    <row r="25" spans="1:5" x14ac:dyDescent="0.3">
      <c r="A25" t="s">
        <v>165</v>
      </c>
      <c r="B25" s="13" t="s">
        <v>174</v>
      </c>
      <c r="C25" s="35">
        <v>2</v>
      </c>
      <c r="D25" s="33">
        <v>0</v>
      </c>
      <c r="E25" s="33">
        <v>6</v>
      </c>
    </row>
    <row r="26" spans="1:5" x14ac:dyDescent="0.3">
      <c r="A26" t="s">
        <v>180</v>
      </c>
      <c r="B26" s="10" t="s">
        <v>174</v>
      </c>
      <c r="C26" s="31">
        <v>218.20410740227862</v>
      </c>
      <c r="D26" s="31">
        <v>1653.3331763371232</v>
      </c>
      <c r="E26" s="31">
        <v>15.456227935888389</v>
      </c>
    </row>
    <row r="27" spans="1:5" x14ac:dyDescent="0.3">
      <c r="A27" t="s">
        <v>180</v>
      </c>
      <c r="B27" s="10" t="s">
        <v>174</v>
      </c>
      <c r="C27" s="31">
        <v>155.2044161418037</v>
      </c>
      <c r="D27" s="31">
        <v>1917.2214608514432</v>
      </c>
      <c r="E27" s="31">
        <v>59.753214500266452</v>
      </c>
    </row>
    <row r="28" spans="1:5" x14ac:dyDescent="0.3">
      <c r="A28" t="s">
        <v>180</v>
      </c>
      <c r="B28" s="13" t="s">
        <v>174</v>
      </c>
      <c r="C28" s="31">
        <v>319.2259435081782</v>
      </c>
      <c r="D28" s="31">
        <v>943.59233802082986</v>
      </c>
      <c r="E28" s="31">
        <v>80.92027268185862</v>
      </c>
    </row>
    <row r="29" spans="1:5" x14ac:dyDescent="0.3">
      <c r="A29" t="s">
        <v>181</v>
      </c>
      <c r="B29" s="10" t="s">
        <v>174</v>
      </c>
      <c r="C29" s="31">
        <v>111.18640681692827</v>
      </c>
      <c r="D29" s="31">
        <v>5195.3033607895168</v>
      </c>
      <c r="E29" s="31">
        <v>1373.9102879569239</v>
      </c>
    </row>
    <row r="30" spans="1:5" x14ac:dyDescent="0.3">
      <c r="A30" t="s">
        <v>181</v>
      </c>
      <c r="B30" s="10" t="s">
        <v>174</v>
      </c>
      <c r="C30" s="31">
        <v>3407.4846500535673</v>
      </c>
      <c r="D30" s="31">
        <v>5029.6783944527515</v>
      </c>
      <c r="E30" s="31">
        <v>448.61541431579741</v>
      </c>
    </row>
    <row r="31" spans="1:5" x14ac:dyDescent="0.3">
      <c r="A31" t="s">
        <v>181</v>
      </c>
      <c r="B31" s="13" t="s">
        <v>174</v>
      </c>
      <c r="C31" s="31">
        <v>3265.7911081759216</v>
      </c>
      <c r="D31" s="31">
        <v>4377.5832187712886</v>
      </c>
      <c r="E31" s="31">
        <v>296.35830419523666</v>
      </c>
    </row>
    <row r="32" spans="1:5" x14ac:dyDescent="0.3">
      <c r="A32" t="s">
        <v>165</v>
      </c>
      <c r="B32" s="13" t="s">
        <v>175</v>
      </c>
      <c r="C32" s="35">
        <v>0</v>
      </c>
      <c r="D32" s="33">
        <v>5</v>
      </c>
      <c r="E32" s="33">
        <v>1</v>
      </c>
    </row>
    <row r="33" spans="1:5" x14ac:dyDescent="0.3">
      <c r="A33" t="s">
        <v>165</v>
      </c>
      <c r="B33" s="10" t="s">
        <v>175</v>
      </c>
      <c r="C33" s="36">
        <v>1</v>
      </c>
      <c r="D33" s="32">
        <v>1</v>
      </c>
      <c r="E33" s="32">
        <v>1</v>
      </c>
    </row>
    <row r="34" spans="1:5" x14ac:dyDescent="0.3">
      <c r="A34" t="s">
        <v>180</v>
      </c>
      <c r="B34" s="13" t="s">
        <v>175</v>
      </c>
      <c r="C34" s="31">
        <v>186.22443293605488</v>
      </c>
      <c r="D34" s="31">
        <v>1434.6603377590075</v>
      </c>
      <c r="E34" s="31">
        <v>148.74920954639668</v>
      </c>
    </row>
    <row r="35" spans="1:5" x14ac:dyDescent="0.3">
      <c r="A35" t="s">
        <v>180</v>
      </c>
      <c r="B35" s="10" t="s">
        <v>175</v>
      </c>
      <c r="C35" s="31">
        <v>999.82753333832898</v>
      </c>
      <c r="D35" s="31">
        <v>809.7436666503686</v>
      </c>
      <c r="E35" s="31">
        <v>805.43558866873389</v>
      </c>
    </row>
    <row r="36" spans="1:5" x14ac:dyDescent="0.3">
      <c r="A36" t="s">
        <v>181</v>
      </c>
      <c r="B36" s="13" t="s">
        <v>175</v>
      </c>
      <c r="C36" s="31">
        <v>1770.1662406281409</v>
      </c>
      <c r="D36" s="31">
        <v>6981.3069451889323</v>
      </c>
      <c r="E36" s="31">
        <v>275.00801424157231</v>
      </c>
    </row>
    <row r="37" spans="1:5" x14ac:dyDescent="0.3">
      <c r="A37" t="s">
        <v>181</v>
      </c>
      <c r="B37" s="10" t="s">
        <v>175</v>
      </c>
      <c r="C37" s="31">
        <v>2874.2122474983635</v>
      </c>
      <c r="D37" s="31">
        <v>8544.3075333502948</v>
      </c>
      <c r="E37" s="31">
        <v>1640.41087514578</v>
      </c>
    </row>
    <row r="38" spans="1:5" x14ac:dyDescent="0.3">
      <c r="A38" t="s">
        <v>165</v>
      </c>
      <c r="B38" s="10" t="s">
        <v>176</v>
      </c>
      <c r="C38" s="36">
        <v>5</v>
      </c>
      <c r="D38" s="32">
        <v>11</v>
      </c>
      <c r="E38" s="32">
        <v>2</v>
      </c>
    </row>
    <row r="39" spans="1:5" x14ac:dyDescent="0.3">
      <c r="A39" t="s">
        <v>180</v>
      </c>
      <c r="B39" s="10" t="s">
        <v>176</v>
      </c>
      <c r="C39" s="31">
        <v>431.00591553583547</v>
      </c>
      <c r="D39" s="31">
        <v>1715.4350851864017</v>
      </c>
      <c r="E39" s="31">
        <v>132.68141968119218</v>
      </c>
    </row>
    <row r="40" spans="1:5" x14ac:dyDescent="0.3">
      <c r="A40" t="s">
        <v>181</v>
      </c>
      <c r="B40" s="10" t="s">
        <v>176</v>
      </c>
      <c r="C40" s="31">
        <v>1851.7369881070522</v>
      </c>
      <c r="D40" s="31">
        <v>9295.1251178842995</v>
      </c>
      <c r="E40" s="31">
        <v>336.3723122968978</v>
      </c>
    </row>
    <row r="41" spans="1:5" x14ac:dyDescent="0.3">
      <c r="A41" t="s">
        <v>165</v>
      </c>
      <c r="B41" s="13" t="s">
        <v>177</v>
      </c>
      <c r="C41" s="35">
        <v>11</v>
      </c>
      <c r="D41" s="33">
        <v>3</v>
      </c>
      <c r="E41" s="33">
        <v>2</v>
      </c>
    </row>
    <row r="42" spans="1:5" x14ac:dyDescent="0.3">
      <c r="A42" t="s">
        <v>180</v>
      </c>
      <c r="B42" s="13" t="s">
        <v>177</v>
      </c>
      <c r="C42" s="31">
        <v>407.95092979265462</v>
      </c>
      <c r="D42" s="31">
        <v>2685.0319349238839</v>
      </c>
      <c r="E42" s="31">
        <v>52.240858292112314</v>
      </c>
    </row>
    <row r="43" spans="1:5" x14ac:dyDescent="0.3">
      <c r="A43" t="s">
        <v>181</v>
      </c>
      <c r="B43" s="13" t="s">
        <v>177</v>
      </c>
      <c r="C43" s="31">
        <v>3645.0703624316925</v>
      </c>
      <c r="D43" s="31">
        <v>9896.1879266720061</v>
      </c>
      <c r="E43" s="31">
        <v>1031.4957309392048</v>
      </c>
    </row>
    <row r="44" spans="1:5" x14ac:dyDescent="0.3">
      <c r="A44" t="s">
        <v>165</v>
      </c>
      <c r="B44" s="10" t="s">
        <v>178</v>
      </c>
      <c r="C44" s="36">
        <v>3</v>
      </c>
      <c r="D44" s="32">
        <v>3</v>
      </c>
      <c r="E44" s="32">
        <v>7</v>
      </c>
    </row>
    <row r="45" spans="1:5" x14ac:dyDescent="0.3">
      <c r="A45" t="s">
        <v>180</v>
      </c>
      <c r="B45" s="10" t="s">
        <v>178</v>
      </c>
      <c r="C45" s="31">
        <v>310.95323455489381</v>
      </c>
      <c r="D45" s="31">
        <v>1629.6615867591506</v>
      </c>
      <c r="E45" s="31">
        <v>71.171660924329515</v>
      </c>
    </row>
    <row r="46" spans="1:5" x14ac:dyDescent="0.3">
      <c r="A46" t="s">
        <v>181</v>
      </c>
      <c r="B46" s="10" t="s">
        <v>178</v>
      </c>
      <c r="C46" s="31">
        <v>4496.994942746177</v>
      </c>
      <c r="D46" s="31">
        <v>9563.630276738324</v>
      </c>
      <c r="E46" s="31">
        <v>52.452615283959503</v>
      </c>
    </row>
  </sheetData>
  <sortState xmlns:xlrd2="http://schemas.microsoft.com/office/spreadsheetml/2017/richdata2" ref="A2:E46">
    <sortCondition ref="B11:B4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31D498-6335-4453-A888-E372D6B079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TabeleStolpci</vt:lpstr>
      <vt:lpstr>grafCentili</vt:lpstr>
      <vt:lpstr>grafCone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Leskošek, Bojan</dc:creator>
  <cp:keywords/>
  <dc:description/>
  <cp:lastModifiedBy>Leskošek, Bojan</cp:lastModifiedBy>
  <cp:revision/>
  <dcterms:created xsi:type="dcterms:W3CDTF">2026-03-28T09:21:35Z</dcterms:created>
  <dcterms:modified xsi:type="dcterms:W3CDTF">2026-04-01T16:58:05Z</dcterms:modified>
  <cp:category/>
  <cp:contentStatus/>
</cp:coreProperties>
</file>