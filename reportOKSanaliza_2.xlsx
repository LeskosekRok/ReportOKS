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unilj-my.sharepoint.com/personal/gregor_jurak_fsp_uni-lj_si/Documents/GREGOR/FŠ/PROJEKTI/SLOfit/razvoj SLOFIT/spletišče SLOfit/Pot_v_odraslost/ReportOKS-old/"/>
    </mc:Choice>
  </mc:AlternateContent>
  <xr:revisionPtr revIDLastSave="0" documentId="8_{B5013702-3DE1-49E7-85ED-A304995FF209}" xr6:coauthVersionLast="47" xr6:coauthVersionMax="47" xr10:uidLastSave="{00000000-0000-0000-0000-000000000000}"/>
  <bookViews>
    <workbookView xWindow="-108" yWindow="-108" windowWidth="23256" windowHeight="12456" firstSheet="4" activeTab="4" xr2:uid="{8F13620D-0B35-4D77-9205-B40C0C733A79}"/>
  </bookViews>
  <sheets>
    <sheet name="Analize" sheetId="4" r:id="rId1"/>
    <sheet name="Pošte" sheetId="1" r:id="rId2"/>
    <sheet name="Centili" sheetId="6" r:id="rId3"/>
    <sheet name="Cone" sheetId="7" r:id="rId4"/>
    <sheet name="Testi" sheetId="8" r:id="rId5"/>
    <sheet name="Regije"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7" l="1"/>
  <c r="H3" i="7"/>
  <c r="I3" i="7"/>
  <c r="H2" i="7"/>
  <c r="I2" i="7"/>
  <c r="G2" i="7"/>
  <c r="H1" i="7"/>
  <c r="I1" i="7"/>
  <c r="G1" i="7"/>
  <c r="F3" i="7"/>
  <c r="F2" i="7"/>
  <c r="E284" i="1"/>
  <c r="E290" i="1"/>
  <c r="E285" i="1"/>
  <c r="E286" i="1"/>
  <c r="E287" i="1"/>
  <c r="E278" i="1"/>
  <c r="E266" i="1"/>
  <c r="E263" i="1"/>
  <c r="E259" i="1"/>
  <c r="E260" i="1"/>
  <c r="E271" i="1"/>
  <c r="E296" i="1"/>
  <c r="E293" i="1"/>
  <c r="E289" i="1"/>
  <c r="E281" i="1"/>
  <c r="E255" i="1"/>
  <c r="E256" i="1"/>
  <c r="E294" i="1"/>
  <c r="E299" i="1"/>
  <c r="E280" i="1"/>
  <c r="E283" i="1"/>
  <c r="E267" i="1"/>
  <c r="E295" i="1"/>
  <c r="E258" i="1"/>
  <c r="E279" i="1"/>
  <c r="E270" i="1"/>
  <c r="E261" i="1"/>
  <c r="E277" i="1"/>
  <c r="E297" i="1"/>
  <c r="E274" i="1"/>
  <c r="E276" i="1"/>
  <c r="E272" i="1"/>
  <c r="E288" i="1"/>
  <c r="E264" i="1"/>
  <c r="E269" i="1"/>
  <c r="E298" i="1"/>
  <c r="E268" i="1"/>
  <c r="E257" i="1"/>
  <c r="E282" i="1"/>
  <c r="E262" i="1"/>
  <c r="E265" i="1"/>
  <c r="E275" i="1"/>
  <c r="E273" i="1"/>
  <c r="E291" i="1"/>
  <c r="E325" i="1"/>
  <c r="E313" i="1"/>
  <c r="E340" i="1"/>
  <c r="E311" i="1"/>
  <c r="E333" i="1"/>
  <c r="E328" i="1"/>
  <c r="E321" i="1"/>
  <c r="E329" i="1"/>
  <c r="E323" i="1"/>
  <c r="E302" i="1"/>
  <c r="E324" i="1"/>
  <c r="E304" i="1"/>
  <c r="E339" i="1"/>
  <c r="E330" i="1"/>
  <c r="E316" i="1"/>
  <c r="E319" i="1"/>
  <c r="E331" i="1"/>
  <c r="E306" i="1"/>
  <c r="E305" i="1"/>
  <c r="E310" i="1"/>
  <c r="E303" i="1"/>
  <c r="E341" i="1"/>
  <c r="E314" i="1"/>
  <c r="E336" i="1"/>
  <c r="E308" i="1"/>
  <c r="E300" i="1"/>
  <c r="E301" i="1"/>
  <c r="E317" i="1"/>
  <c r="E327" i="1"/>
  <c r="E342" i="1"/>
  <c r="E337" i="1"/>
  <c r="E307" i="1"/>
  <c r="E334" i="1"/>
  <c r="E315" i="1"/>
  <c r="E318" i="1"/>
  <c r="E332" i="1"/>
  <c r="E312" i="1"/>
  <c r="E322" i="1"/>
  <c r="E335" i="1"/>
  <c r="E309" i="1"/>
  <c r="E320" i="1"/>
  <c r="E326" i="1"/>
  <c r="E338" i="1"/>
  <c r="E434" i="1"/>
  <c r="E426" i="1"/>
  <c r="E411" i="1"/>
  <c r="E433" i="1"/>
  <c r="E384" i="1"/>
  <c r="E57" i="1"/>
  <c r="E438" i="1"/>
  <c r="E55" i="1"/>
  <c r="E436" i="1"/>
  <c r="E441" i="1"/>
  <c r="E431" i="1"/>
  <c r="E442" i="1"/>
  <c r="E56" i="1"/>
  <c r="E61" i="1"/>
  <c r="E424" i="1"/>
  <c r="E59" i="1"/>
  <c r="E54" i="1"/>
  <c r="E429" i="1"/>
  <c r="E393" i="1"/>
  <c r="E387" i="1"/>
  <c r="E390" i="1"/>
  <c r="E381" i="1"/>
  <c r="E382" i="1"/>
  <c r="E52" i="1"/>
  <c r="E60" i="1"/>
  <c r="E389" i="1"/>
  <c r="E425" i="1"/>
  <c r="E46" i="1"/>
  <c r="E432" i="1"/>
  <c r="E53" i="1"/>
  <c r="E58" i="1"/>
  <c r="E435" i="1"/>
  <c r="E427" i="1"/>
  <c r="E439" i="1"/>
  <c r="E430" i="1"/>
  <c r="E423" i="1"/>
  <c r="E229" i="1"/>
  <c r="E392" i="1"/>
  <c r="E410" i="1"/>
  <c r="E388" i="1"/>
  <c r="E391" i="1"/>
  <c r="E383" i="1"/>
  <c r="E428" i="1"/>
  <c r="E385" i="1"/>
  <c r="E386" i="1"/>
  <c r="E437" i="1"/>
  <c r="E440" i="1"/>
  <c r="E188" i="1"/>
  <c r="E177" i="1"/>
  <c r="E189" i="1"/>
  <c r="E179" i="1"/>
  <c r="E187" i="1"/>
  <c r="E183" i="1"/>
  <c r="E175" i="1"/>
  <c r="E182" i="1"/>
  <c r="E172" i="1"/>
  <c r="E186" i="1"/>
  <c r="E169" i="1"/>
  <c r="E185" i="1"/>
  <c r="E173" i="1"/>
  <c r="E181" i="1"/>
  <c r="E180" i="1"/>
  <c r="E184" i="1"/>
  <c r="E178" i="1"/>
  <c r="E174" i="1"/>
  <c r="E176" i="1"/>
  <c r="E375" i="1"/>
  <c r="E373" i="1"/>
  <c r="E369" i="1"/>
  <c r="E346" i="1"/>
  <c r="E350" i="1"/>
  <c r="E370" i="1"/>
  <c r="E377" i="1"/>
  <c r="E352" i="1"/>
  <c r="E343" i="1"/>
  <c r="E344" i="1"/>
  <c r="E357" i="1"/>
  <c r="E349" i="1"/>
  <c r="E371" i="1"/>
  <c r="E358" i="1"/>
  <c r="E359" i="1"/>
  <c r="E379" i="1"/>
  <c r="E374" i="1"/>
  <c r="E347" i="1"/>
  <c r="E360" i="1"/>
  <c r="E378" i="1"/>
  <c r="E380" i="1"/>
  <c r="E353" i="1"/>
  <c r="E345" i="1"/>
  <c r="E376" i="1"/>
  <c r="E372" i="1"/>
  <c r="E351" i="1"/>
  <c r="E348" i="1"/>
  <c r="E14" i="1"/>
  <c r="E64" i="1"/>
  <c r="E62" i="1"/>
  <c r="E18" i="1"/>
  <c r="E67" i="1"/>
  <c r="E28" i="1"/>
  <c r="E31" i="1"/>
  <c r="E16" i="1"/>
  <c r="E32" i="1"/>
  <c r="E37" i="1"/>
  <c r="E65" i="1"/>
  <c r="E72" i="1"/>
  <c r="E39" i="1"/>
  <c r="E42" i="1"/>
  <c r="E22" i="1"/>
  <c r="E10" i="1"/>
  <c r="E35" i="1"/>
  <c r="E44" i="1"/>
  <c r="E11" i="1"/>
  <c r="E29" i="1"/>
  <c r="E2" i="1"/>
  <c r="E3" i="1"/>
  <c r="E17" i="1"/>
  <c r="E27" i="1"/>
  <c r="E26" i="1"/>
  <c r="E4" i="1"/>
  <c r="E5" i="1"/>
  <c r="E6" i="1"/>
  <c r="E69" i="1"/>
  <c r="E71" i="1"/>
  <c r="E15" i="1"/>
  <c r="E7" i="1"/>
  <c r="E19" i="1"/>
  <c r="E24" i="1"/>
  <c r="E12" i="1"/>
  <c r="E68" i="1"/>
  <c r="E66" i="1"/>
  <c r="E30" i="1"/>
  <c r="E63" i="1"/>
  <c r="E34" i="1"/>
  <c r="E20" i="1"/>
  <c r="E50" i="1"/>
  <c r="E73" i="1"/>
  <c r="E36" i="1"/>
  <c r="E8" i="1"/>
  <c r="E23" i="1"/>
  <c r="E49" i="1"/>
  <c r="E43" i="1"/>
  <c r="E38" i="1"/>
  <c r="E40" i="1"/>
  <c r="E33" i="1"/>
  <c r="E13" i="1"/>
  <c r="E21" i="1"/>
  <c r="E47" i="1"/>
  <c r="E25" i="1"/>
  <c r="E51" i="1"/>
  <c r="E48" i="1"/>
  <c r="E41" i="1"/>
  <c r="E9" i="1"/>
  <c r="E70" i="1"/>
  <c r="E45" i="1"/>
  <c r="E112" i="1"/>
  <c r="E164" i="1"/>
  <c r="E168" i="1"/>
  <c r="E114" i="1"/>
  <c r="E103" i="1"/>
  <c r="E157" i="1"/>
  <c r="E134" i="1"/>
  <c r="E119" i="1"/>
  <c r="E118" i="1"/>
  <c r="E162" i="1"/>
  <c r="E145" i="1"/>
  <c r="E127" i="1"/>
  <c r="E140" i="1"/>
  <c r="E143" i="1"/>
  <c r="E125" i="1"/>
  <c r="E105" i="1"/>
  <c r="E104" i="1"/>
  <c r="E106" i="1"/>
  <c r="E122" i="1"/>
  <c r="E165" i="1"/>
  <c r="E171" i="1"/>
  <c r="E156" i="1"/>
  <c r="E131" i="1"/>
  <c r="E150" i="1"/>
  <c r="E108" i="1"/>
  <c r="E160" i="1"/>
  <c r="E155" i="1"/>
  <c r="E163" i="1"/>
  <c r="E153" i="1"/>
  <c r="E152" i="1"/>
  <c r="E107" i="1"/>
  <c r="E92" i="1"/>
  <c r="E93" i="1"/>
  <c r="E97" i="1"/>
  <c r="E133" i="1"/>
  <c r="E95" i="1"/>
  <c r="E130" i="1"/>
  <c r="E149" i="1"/>
  <c r="E144" i="1"/>
  <c r="E126" i="1"/>
  <c r="E170" i="1"/>
  <c r="E109" i="1"/>
  <c r="E99" i="1"/>
  <c r="E128" i="1"/>
  <c r="E138" i="1"/>
  <c r="E98" i="1"/>
  <c r="E123" i="1"/>
  <c r="E151" i="1"/>
  <c r="E159" i="1"/>
  <c r="E117" i="1"/>
  <c r="E154" i="1"/>
  <c r="E158" i="1"/>
  <c r="E161" i="1"/>
  <c r="E166" i="1"/>
  <c r="E102" i="1"/>
  <c r="E142" i="1"/>
  <c r="E115" i="1"/>
  <c r="E132" i="1"/>
  <c r="E96" i="1"/>
  <c r="E141" i="1"/>
  <c r="E167" i="1"/>
  <c r="E111" i="1"/>
  <c r="E113" i="1"/>
  <c r="E124" i="1"/>
  <c r="E100" i="1"/>
  <c r="E147" i="1"/>
  <c r="E120" i="1"/>
  <c r="E129" i="1"/>
  <c r="E136" i="1"/>
  <c r="E121" i="1"/>
  <c r="E110" i="1"/>
  <c r="E135" i="1"/>
  <c r="E116" i="1"/>
  <c r="E94" i="1"/>
  <c r="E148" i="1"/>
  <c r="E146" i="1"/>
  <c r="E101" i="1"/>
  <c r="E137" i="1"/>
  <c r="E139" i="1"/>
  <c r="E474" i="1"/>
  <c r="E461" i="1"/>
  <c r="E479" i="1"/>
  <c r="E455" i="1"/>
  <c r="E475" i="1"/>
  <c r="E462" i="1"/>
  <c r="E456" i="1"/>
  <c r="E452" i="1"/>
  <c r="E471" i="1"/>
  <c r="E478" i="1"/>
  <c r="E449" i="1"/>
  <c r="E460" i="1"/>
  <c r="E450" i="1"/>
  <c r="E466" i="1"/>
  <c r="E477" i="1"/>
  <c r="E453" i="1"/>
  <c r="E464" i="1"/>
  <c r="E446" i="1"/>
  <c r="E467" i="1"/>
  <c r="E454" i="1"/>
  <c r="E459" i="1"/>
  <c r="E443" i="1"/>
  <c r="E444" i="1"/>
  <c r="E463" i="1"/>
  <c r="E447" i="1"/>
  <c r="E451" i="1"/>
  <c r="E445" i="1"/>
  <c r="E473" i="1"/>
  <c r="E470" i="1"/>
  <c r="E476" i="1"/>
  <c r="E469" i="1"/>
  <c r="E468" i="1"/>
  <c r="E448" i="1"/>
  <c r="E472" i="1"/>
  <c r="E457" i="1"/>
  <c r="E458" i="1"/>
  <c r="E465" i="1"/>
  <c r="E396" i="1"/>
  <c r="E402" i="1"/>
  <c r="E415" i="1"/>
  <c r="E419" i="1"/>
  <c r="E412" i="1"/>
  <c r="E394" i="1"/>
  <c r="E405" i="1"/>
  <c r="E395" i="1"/>
  <c r="E400" i="1"/>
  <c r="E397" i="1"/>
  <c r="E403" i="1"/>
  <c r="E401" i="1"/>
  <c r="E414" i="1"/>
  <c r="E421" i="1"/>
  <c r="E404" i="1"/>
  <c r="E406" i="1"/>
  <c r="E408" i="1"/>
  <c r="E91" i="1"/>
  <c r="E398" i="1"/>
  <c r="E90" i="1"/>
  <c r="E409" i="1"/>
  <c r="E413" i="1"/>
  <c r="E416" i="1"/>
  <c r="E399" i="1"/>
  <c r="E418" i="1"/>
  <c r="E422" i="1"/>
  <c r="E420" i="1"/>
  <c r="E417" i="1"/>
  <c r="E407" i="1"/>
  <c r="E89" i="1"/>
  <c r="E76" i="1"/>
  <c r="E74" i="1"/>
  <c r="E77" i="1"/>
  <c r="E354" i="1"/>
  <c r="E361" i="1"/>
  <c r="E362" i="1"/>
  <c r="E364" i="1"/>
  <c r="E363" i="1"/>
  <c r="E366" i="1"/>
  <c r="E78" i="1"/>
  <c r="E367" i="1"/>
  <c r="E356" i="1"/>
  <c r="E355" i="1"/>
  <c r="E365" i="1"/>
  <c r="E368" i="1"/>
  <c r="E75" i="1"/>
  <c r="E79" i="1"/>
  <c r="E221" i="1"/>
  <c r="E241" i="1"/>
  <c r="E220" i="1"/>
  <c r="E190" i="1"/>
  <c r="E191" i="1"/>
  <c r="E208" i="1"/>
  <c r="E195" i="1"/>
  <c r="E206" i="1"/>
  <c r="E201" i="1"/>
  <c r="E234" i="1"/>
  <c r="E226" i="1"/>
  <c r="E254" i="1"/>
  <c r="E233" i="1"/>
  <c r="E211" i="1"/>
  <c r="E231" i="1"/>
  <c r="E213" i="1"/>
  <c r="E223" i="1"/>
  <c r="E228" i="1"/>
  <c r="E224" i="1"/>
  <c r="E193" i="1"/>
  <c r="E250" i="1"/>
  <c r="E203" i="1"/>
  <c r="E207" i="1"/>
  <c r="E251" i="1"/>
  <c r="E247" i="1"/>
  <c r="E248" i="1"/>
  <c r="E194" i="1"/>
  <c r="E232" i="1"/>
  <c r="E209" i="1"/>
  <c r="E219" i="1"/>
  <c r="E215" i="1"/>
  <c r="E222" i="1"/>
  <c r="E240" i="1"/>
  <c r="E212" i="1"/>
  <c r="E239" i="1"/>
  <c r="E225" i="1"/>
  <c r="E218" i="1"/>
  <c r="E249" i="1"/>
  <c r="E230" i="1"/>
  <c r="E216" i="1"/>
  <c r="E217" i="1"/>
  <c r="E198" i="1"/>
  <c r="E252" i="1"/>
  <c r="E197" i="1"/>
  <c r="E227" i="1"/>
  <c r="E238" i="1"/>
  <c r="E210" i="1"/>
  <c r="E199" i="1"/>
  <c r="E214" i="1"/>
  <c r="E253" i="1"/>
  <c r="E246" i="1"/>
  <c r="E192" i="1"/>
  <c r="E244" i="1"/>
  <c r="E204" i="1"/>
  <c r="E235" i="1"/>
  <c r="E205" i="1"/>
  <c r="E245" i="1"/>
  <c r="E242" i="1"/>
  <c r="E243" i="1"/>
  <c r="E196" i="1"/>
  <c r="E200" i="1"/>
  <c r="E236" i="1"/>
  <c r="E202" i="1"/>
  <c r="E237" i="1"/>
  <c r="E484" i="1"/>
  <c r="E480" i="1"/>
  <c r="E481" i="1"/>
  <c r="E482" i="1"/>
  <c r="E483" i="1"/>
  <c r="E83" i="1"/>
  <c r="E86" i="1"/>
  <c r="E88" i="1"/>
  <c r="E87" i="1"/>
  <c r="E81" i="1"/>
  <c r="E82" i="1"/>
  <c r="E84" i="1"/>
  <c r="E85" i="1"/>
  <c r="E80" i="1"/>
  <c r="E29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tc={27CA99E9-B9D0-4DB6-9B7E-D9517DFCF062}</author>
  </authors>
  <commentList>
    <comment ref="A1" authorId="0" shapeId="0" xr:uid="{27CA99E9-B9D0-4DB6-9B7E-D9517DFCF062}">
      <text>
        <t>[Threaded comment]
Your version of Excel allows you to read this threaded comment; however, any edits to it will get removed if the file is opened in a newer version of Excel. Learn more: https://go.microsoft.com/fwlink/?linkid=870924
Comment:
    SELECT TABLE_NAME FROM INFORMATION_SCHEMA.TABLES where TABLE_NAME like '%regi%'  --WHERE TABLE_TYPE='BASE TABLE'
select top 945 * from FitnessMapStates --212 občin
select top 45 * from FitnessMapRegions --12 regij
select top 945 * from FitnessMapStateInRegion --212 povezav
select top 945 * from PostalCodes -- 483 pošte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tc={432E0AA6-1FCB-404B-9197-2574646D5026}</author>
    <author>tc={2E559316-C50F-43A0-B008-EF5C41EC88EA}</author>
  </authors>
  <commentList>
    <comment ref="F1" authorId="0" shapeId="0" xr:uid="{432E0AA6-1FCB-404B-9197-2574646D5026}">
      <text>
        <t>[Threaded comment]
Your version of Excel allows you to read this threaded comment; however, any edits to it will get removed if the file is opened in a newer version of Excel. Learn more: https://go.microsoft.com/fwlink/?linkid=870924
Comment:
    0 pomeni, da je nižji rezultat boljši</t>
      </text>
    </comment>
    <comment ref="Z1" authorId="1" shapeId="0" xr:uid="{2E559316-C50F-43A0-B008-EF5C41EC88EA}">
      <text>
        <t>[Threaded comment]
Your version of Excel allows you to read this threaded comment; however, any edits to it will get removed if the file is opened in a newer version of Excel. Learn more: https://go.microsoft.com/fwlink/?linkid=870924
Comment:
    Vrstni red prikaza testov, nižja vrednost je zgoraj/na levi</t>
      </text>
    </comment>
  </commentList>
</comments>
</file>

<file path=xl/sharedStrings.xml><?xml version="1.0" encoding="utf-8"?>
<sst xmlns="http://schemas.openxmlformats.org/spreadsheetml/2006/main" count="1465" uniqueCount="763">
  <si>
    <t>ID</t>
  </si>
  <si>
    <t>Meritev.id</t>
  </si>
  <si>
    <t>Regija.id</t>
  </si>
  <si>
    <t>ReportDocName</t>
  </si>
  <si>
    <t>Opomba</t>
  </si>
  <si>
    <t>Fšfebr2026_odrasli</t>
  </si>
  <si>
    <t>FŠ odrasli 13.2.2026</t>
  </si>
  <si>
    <t>Code</t>
  </si>
  <si>
    <t>Name</t>
  </si>
  <si>
    <t>Regija</t>
  </si>
  <si>
    <t>Ljubljana</t>
  </si>
  <si>
    <t>Osrednjeslovenska</t>
  </si>
  <si>
    <t>Ljubljana - poštni predali</t>
  </si>
  <si>
    <t>Ljubljana - poštni center</t>
  </si>
  <si>
    <t>Ljubljana - Šentvid</t>
  </si>
  <si>
    <t>Ljubljana - Šmartno</t>
  </si>
  <si>
    <t>Medvode</t>
  </si>
  <si>
    <t>Smlednik</t>
  </si>
  <si>
    <t>Vodice</t>
  </si>
  <si>
    <t>Komenda</t>
  </si>
  <si>
    <t>Laze v Tuhinju</t>
  </si>
  <si>
    <t>Motnik</t>
  </si>
  <si>
    <t>Trojane</t>
  </si>
  <si>
    <t>Blagovica</t>
  </si>
  <si>
    <t>Lukovica</t>
  </si>
  <si>
    <t>Domžale</t>
  </si>
  <si>
    <t>Ljubljana - Črnuče</t>
  </si>
  <si>
    <t>Dob</t>
  </si>
  <si>
    <t>Mengeš</t>
  </si>
  <si>
    <t>Radomlje</t>
  </si>
  <si>
    <t>Trzin</t>
  </si>
  <si>
    <t>Kamnik</t>
  </si>
  <si>
    <t>Stahovica</t>
  </si>
  <si>
    <t>Moravče</t>
  </si>
  <si>
    <t>Vače</t>
  </si>
  <si>
    <t>Ljubljana - Polje</t>
  </si>
  <si>
    <t>Ljubljana - Dobrunje</t>
  </si>
  <si>
    <t>Dol pri Ljubljani</t>
  </si>
  <si>
    <t>Litija</t>
  </si>
  <si>
    <t>Zasavska</t>
  </si>
  <si>
    <t>Polšnik</t>
  </si>
  <si>
    <t>Dole pri Litiji</t>
  </si>
  <si>
    <t>Gabrovka</t>
  </si>
  <si>
    <t>Šmartno pri Litiji</t>
  </si>
  <si>
    <t>Primskovo</t>
  </si>
  <si>
    <t>Kresnice</t>
  </si>
  <si>
    <t>Sava</t>
  </si>
  <si>
    <t>Grosuplje</t>
  </si>
  <si>
    <t>Škofljica</t>
  </si>
  <si>
    <t>Ig</t>
  </si>
  <si>
    <t>Šmarje - Sap</t>
  </si>
  <si>
    <t>Višnja Gora</t>
  </si>
  <si>
    <t>Ivančna Gorica</t>
  </si>
  <si>
    <t>Šentvid pri Stični</t>
  </si>
  <si>
    <t>Krka</t>
  </si>
  <si>
    <t>Zagradec</t>
  </si>
  <si>
    <t>Ribnica</t>
  </si>
  <si>
    <t>Jugovzhodna Slovenija</t>
  </si>
  <si>
    <t>Turjak</t>
  </si>
  <si>
    <t>Videm - Dobrepolje</t>
  </si>
  <si>
    <t>Struge</t>
  </si>
  <si>
    <t>Rob</t>
  </si>
  <si>
    <t>Velike Lašče</t>
  </si>
  <si>
    <t>Ortnek</t>
  </si>
  <si>
    <t>Sodražica</t>
  </si>
  <si>
    <t>Loški Potok</t>
  </si>
  <si>
    <t>Draga</t>
  </si>
  <si>
    <t>Kočevje</t>
  </si>
  <si>
    <t>Dolenja vas</t>
  </si>
  <si>
    <t>Stara Cerkev</t>
  </si>
  <si>
    <t>Kostel</t>
  </si>
  <si>
    <t>Osilnica</t>
  </si>
  <si>
    <t>Kočevska Reka</t>
  </si>
  <si>
    <t>Brezovica pri Ljubljani</t>
  </si>
  <si>
    <t>Preserje</t>
  </si>
  <si>
    <t>Borovnica</t>
  </si>
  <si>
    <t>Horjul</t>
  </si>
  <si>
    <t>Polhov Gradec</t>
  </si>
  <si>
    <t>Dobrova</t>
  </si>
  <si>
    <t>Notranje Gorice</t>
  </si>
  <si>
    <t>Log pri Brezovici</t>
  </si>
  <si>
    <t>Vrhnika</t>
  </si>
  <si>
    <t>Logatec</t>
  </si>
  <si>
    <t>Hotedršica</t>
  </si>
  <si>
    <t>Rovte</t>
  </si>
  <si>
    <t>Cerknica</t>
  </si>
  <si>
    <t>Primorsko-notranjska</t>
  </si>
  <si>
    <t>Rakek</t>
  </si>
  <si>
    <t>Begunje pri Cerknici</t>
  </si>
  <si>
    <t>Grahovo</t>
  </si>
  <si>
    <t>Nova vas</t>
  </si>
  <si>
    <t>Stari trg pri Ložu</t>
  </si>
  <si>
    <t>Zagorje ob Savi</t>
  </si>
  <si>
    <t>Izlake</t>
  </si>
  <si>
    <t>Kisovec</t>
  </si>
  <si>
    <t>Čemšenik</t>
  </si>
  <si>
    <t>Podkum</t>
  </si>
  <si>
    <t>Trbovlje</t>
  </si>
  <si>
    <t>Dobovec</t>
  </si>
  <si>
    <t>Hrastnik</t>
  </si>
  <si>
    <t>Dol pri Hrastniku</t>
  </si>
  <si>
    <t>Zidani Most</t>
  </si>
  <si>
    <t>Posavska</t>
  </si>
  <si>
    <t>Radeče</t>
  </si>
  <si>
    <t>Loka pri Zidanem Mostu</t>
  </si>
  <si>
    <t>Maribor</t>
  </si>
  <si>
    <t>Podravska</t>
  </si>
  <si>
    <t>Maribor - poštni predali</t>
  </si>
  <si>
    <t>Zgornja Kungota</t>
  </si>
  <si>
    <t>Miklavž na Dravskem polju</t>
  </si>
  <si>
    <t>Starše</t>
  </si>
  <si>
    <t>Marjeta na Dravskem polju</t>
  </si>
  <si>
    <t>Pohorje</t>
  </si>
  <si>
    <t>Pesnica pri Mariboru</t>
  </si>
  <si>
    <t>Šentilj v Slovenskih goricah</t>
  </si>
  <si>
    <t>Zgornja Velka</t>
  </si>
  <si>
    <t>Sladki Vrh</t>
  </si>
  <si>
    <t>Ceršak</t>
  </si>
  <si>
    <t>Jarenina</t>
  </si>
  <si>
    <t>Jakobski Dol</t>
  </si>
  <si>
    <t>Jurovski Dol</t>
  </si>
  <si>
    <t>Malečnik</t>
  </si>
  <si>
    <t>Lenart v Slovenskih goricah</t>
  </si>
  <si>
    <t>Pernica</t>
  </si>
  <si>
    <t>Voličina</t>
  </si>
  <si>
    <t>Sveta Ana v Slovenskih goricah</t>
  </si>
  <si>
    <t>Benedikt</t>
  </si>
  <si>
    <t>Sveta Trojica v Slovenskih goricah</t>
  </si>
  <si>
    <t>Cerkvenjak</t>
  </si>
  <si>
    <t>Spodnji Duplek</t>
  </si>
  <si>
    <t>Zgornja Korena</t>
  </si>
  <si>
    <t>Ptuj</t>
  </si>
  <si>
    <t>Dornava</t>
  </si>
  <si>
    <t>Destrnik</t>
  </si>
  <si>
    <t>Trnovska vas</t>
  </si>
  <si>
    <t>Vitomarci</t>
  </si>
  <si>
    <t>Juršinci</t>
  </si>
  <si>
    <t>Polenšak</t>
  </si>
  <si>
    <t>Sveti Tomaž</t>
  </si>
  <si>
    <t>Ivanjkovci</t>
  </si>
  <si>
    <t>Ormož</t>
  </si>
  <si>
    <t>Gorišnica</t>
  </si>
  <si>
    <t>Podgorci</t>
  </si>
  <si>
    <t>Velika Nedelja</t>
  </si>
  <si>
    <t>Miklavž pri Ormožu</t>
  </si>
  <si>
    <t>Kog</t>
  </si>
  <si>
    <t>Središče ob Dravi</t>
  </si>
  <si>
    <t>Markovci</t>
  </si>
  <si>
    <t>Cirkulane</t>
  </si>
  <si>
    <t>Zavrč</t>
  </si>
  <si>
    <t>Videm pri Ptuju</t>
  </si>
  <si>
    <t>Zgornji Leskovec</t>
  </si>
  <si>
    <t>Podlehnik</t>
  </si>
  <si>
    <t>Žetale</t>
  </si>
  <si>
    <t>Hajdina</t>
  </si>
  <si>
    <t>Stoperce</t>
  </si>
  <si>
    <t>Slovenska Bistrica</t>
  </si>
  <si>
    <t>Hoče</t>
  </si>
  <si>
    <t>Orehova vas</t>
  </si>
  <si>
    <t>Fram</t>
  </si>
  <si>
    <t>Zgornja Polskava</t>
  </si>
  <si>
    <t>Šmartno na Pohorju</t>
  </si>
  <si>
    <t>Zgornja Ložnica</t>
  </si>
  <si>
    <t>Oplotnica</t>
  </si>
  <si>
    <t>Laporje</t>
  </si>
  <si>
    <t>Poljčane</t>
  </si>
  <si>
    <t>Makole</t>
  </si>
  <si>
    <t>Majšperk</t>
  </si>
  <si>
    <t>Ptujska Gora</t>
  </si>
  <si>
    <t>Lovrenc na Dravskem polju</t>
  </si>
  <si>
    <t>Kidričevo</t>
  </si>
  <si>
    <t>Cirkovce</t>
  </si>
  <si>
    <t>Rače</t>
  </si>
  <si>
    <t>Pragersko</t>
  </si>
  <si>
    <t>Limbuš</t>
  </si>
  <si>
    <t>Ruše</t>
  </si>
  <si>
    <t>Fala</t>
  </si>
  <si>
    <t>Lovrenc na Pohorju</t>
  </si>
  <si>
    <t>Bistrica ob Dravi</t>
  </si>
  <si>
    <t>Kamnica</t>
  </si>
  <si>
    <t>Selnica ob Dravi</t>
  </si>
  <si>
    <t>Sv. Duh na Ostrem Vrhu</t>
  </si>
  <si>
    <t>Bresternica</t>
  </si>
  <si>
    <t>Radlje ob Dravi</t>
  </si>
  <si>
    <t>Koroška</t>
  </si>
  <si>
    <t>Ožbalt</t>
  </si>
  <si>
    <t>Kapla</t>
  </si>
  <si>
    <t>Podvelka</t>
  </si>
  <si>
    <t>Ribnica na Pohorju</t>
  </si>
  <si>
    <t>Vuhred</t>
  </si>
  <si>
    <t>Muta</t>
  </si>
  <si>
    <t>Vuzenica</t>
  </si>
  <si>
    <t>Dravograd</t>
  </si>
  <si>
    <t>Trbonje</t>
  </si>
  <si>
    <t>Libeliče</t>
  </si>
  <si>
    <t>Šentjanž pri Dravogradu</t>
  </si>
  <si>
    <t>Slovenj Gradec</t>
  </si>
  <si>
    <t>Podgorje pri Slovenj Gradcu</t>
  </si>
  <si>
    <t>Mislinja</t>
  </si>
  <si>
    <t>Šmartno pri Slovenj Gradcu</t>
  </si>
  <si>
    <t>Ravne na Koroškem</t>
  </si>
  <si>
    <t>Prevalje</t>
  </si>
  <si>
    <t>Mežica</t>
  </si>
  <si>
    <t>Črna na Koroškem</t>
  </si>
  <si>
    <t>Kotlje</t>
  </si>
  <si>
    <t>Celje</t>
  </si>
  <si>
    <t>Savinjska</t>
  </si>
  <si>
    <t>Celje - poštni predali</t>
  </si>
  <si>
    <t>Šmartno v Rožni dolini</t>
  </si>
  <si>
    <t>Ljubečna</t>
  </si>
  <si>
    <t>Nova Cerkev</t>
  </si>
  <si>
    <t>Dobrna</t>
  </si>
  <si>
    <t>Vitanje</t>
  </si>
  <si>
    <t>Stranice</t>
  </si>
  <si>
    <t>Slovenske Konjice</t>
  </si>
  <si>
    <t>Škofja vas</t>
  </si>
  <si>
    <t>Vojnik</t>
  </si>
  <si>
    <t>Frankolovo</t>
  </si>
  <si>
    <t>Zreče</t>
  </si>
  <si>
    <t>Loče</t>
  </si>
  <si>
    <t>Štore</t>
  </si>
  <si>
    <t>Teharje</t>
  </si>
  <si>
    <t>Dramlje</t>
  </si>
  <si>
    <t>Loka pri Žusmu</t>
  </si>
  <si>
    <t>Dobje pri Planini</t>
  </si>
  <si>
    <t>Planina pri Sevnici</t>
  </si>
  <si>
    <t>Šentjur</t>
  </si>
  <si>
    <t>Grobelno</t>
  </si>
  <si>
    <t>Ponikva</t>
  </si>
  <si>
    <t>Kalobje</t>
  </si>
  <si>
    <t>Šmarje pri Jelšah</t>
  </si>
  <si>
    <t>Podplat</t>
  </si>
  <si>
    <t>Rogaška Slatina</t>
  </si>
  <si>
    <t>Rogatec</t>
  </si>
  <si>
    <t>Pristava pri Mestinju</t>
  </si>
  <si>
    <t>Podčetrtek</t>
  </si>
  <si>
    <t>Buče</t>
  </si>
  <si>
    <t>Bistrica ob Sotli</t>
  </si>
  <si>
    <t>Podsreda</t>
  </si>
  <si>
    <t>Kozje</t>
  </si>
  <si>
    <t>Lesično</t>
  </si>
  <si>
    <t>Prevorje</t>
  </si>
  <si>
    <t>Gorica pri Slivnici</t>
  </si>
  <si>
    <t>Sveti Štefan</t>
  </si>
  <si>
    <t>Laško</t>
  </si>
  <si>
    <t>Šentrupert</t>
  </si>
  <si>
    <t>Rimske Toplice</t>
  </si>
  <si>
    <t>Jurklošter</t>
  </si>
  <si>
    <t>Petrovče</t>
  </si>
  <si>
    <t>Griže</t>
  </si>
  <si>
    <t>Gomilsko</t>
  </si>
  <si>
    <t>Tabor</t>
  </si>
  <si>
    <t>Vransko</t>
  </si>
  <si>
    <t>Žalec</t>
  </si>
  <si>
    <t>Šempeter v Savinjski dolini</t>
  </si>
  <si>
    <t>Prebold</t>
  </si>
  <si>
    <t>Polzela</t>
  </si>
  <si>
    <t>Braslovče</t>
  </si>
  <si>
    <t>Velenje</t>
  </si>
  <si>
    <t>Šoštanj</t>
  </si>
  <si>
    <t>Topolšica</t>
  </si>
  <si>
    <t>Šmartno ob Paki</t>
  </si>
  <si>
    <t>Mozirje</t>
  </si>
  <si>
    <t>Nazarje</t>
  </si>
  <si>
    <t>Rečica ob Savinji</t>
  </si>
  <si>
    <t>Ljubno ob Savinji</t>
  </si>
  <si>
    <t>Luče</t>
  </si>
  <si>
    <t>Solčava</t>
  </si>
  <si>
    <t>Šmartno ob Dreti</t>
  </si>
  <si>
    <t>Gornji Grad</t>
  </si>
  <si>
    <t>Kranj</t>
  </si>
  <si>
    <t>Gorenjska</t>
  </si>
  <si>
    <t>Kranj - poštni predali</t>
  </si>
  <si>
    <t>Zgornja Besnica</t>
  </si>
  <si>
    <t>Naklo</t>
  </si>
  <si>
    <t>Duplje</t>
  </si>
  <si>
    <t>Golnik</t>
  </si>
  <si>
    <t>Preddvor</t>
  </si>
  <si>
    <t>Zgornje Jezersko</t>
  </si>
  <si>
    <t>Cerklje na Gorenjskem</t>
  </si>
  <si>
    <t>Šenčur</t>
  </si>
  <si>
    <t>Žabnica</t>
  </si>
  <si>
    <t>Brnik - aerodrom</t>
  </si>
  <si>
    <t>Mavčiče</t>
  </si>
  <si>
    <t>Visoko</t>
  </si>
  <si>
    <t>Škofja Loka</t>
  </si>
  <si>
    <t>Poljane nad Škofjo Loko</t>
  </si>
  <si>
    <t>Gorenja vas</t>
  </si>
  <si>
    <t>Sovodenj</t>
  </si>
  <si>
    <t>Žiri</t>
  </si>
  <si>
    <t>Selca</t>
  </si>
  <si>
    <t>Železniki</t>
  </si>
  <si>
    <t>Sorica</t>
  </si>
  <si>
    <t>Radovljica</t>
  </si>
  <si>
    <t>Brezje</t>
  </si>
  <si>
    <t>Podnart</t>
  </si>
  <si>
    <t>Kropa</t>
  </si>
  <si>
    <t>Kamna Gorica</t>
  </si>
  <si>
    <t>Zgornje Gorje</t>
  </si>
  <si>
    <t>Lesce</t>
  </si>
  <si>
    <t>Bled</t>
  </si>
  <si>
    <t>Bohinjska Bela</t>
  </si>
  <si>
    <t>Bohinjska Bistrica</t>
  </si>
  <si>
    <t>Bohinjsko jezero</t>
  </si>
  <si>
    <t>Srednja vas v Bohinju</t>
  </si>
  <si>
    <t>Jesenice</t>
  </si>
  <si>
    <t>Blejska Dobrava</t>
  </si>
  <si>
    <t>Žirovnica</t>
  </si>
  <si>
    <t>Begunje na Gorenjskem</t>
  </si>
  <si>
    <t>Hrušica</t>
  </si>
  <si>
    <t>Kranjska Gora</t>
  </si>
  <si>
    <t>Mojstrana</t>
  </si>
  <si>
    <t>Gozd Martuljek</t>
  </si>
  <si>
    <t>Rateče - Planica</t>
  </si>
  <si>
    <t>Tržič</t>
  </si>
  <si>
    <t>Križe</t>
  </si>
  <si>
    <t>Nova Gorica</t>
  </si>
  <si>
    <t>Goriška</t>
  </si>
  <si>
    <t>Nova Gorica - poštni predali</t>
  </si>
  <si>
    <t>Deskle</t>
  </si>
  <si>
    <t>Kojsko</t>
  </si>
  <si>
    <t>Dobrovo v Brdih</t>
  </si>
  <si>
    <t>Kanal</t>
  </si>
  <si>
    <t>Kal nad Kanalom</t>
  </si>
  <si>
    <t>Ročinj</t>
  </si>
  <si>
    <t>Most na Soči</t>
  </si>
  <si>
    <t>Tolmin</t>
  </si>
  <si>
    <t>Kobarid</t>
  </si>
  <si>
    <t>Breginj</t>
  </si>
  <si>
    <t>Srpenica</t>
  </si>
  <si>
    <t>Bovec</t>
  </si>
  <si>
    <t>Log pod Mangartom</t>
  </si>
  <si>
    <t>Soča</t>
  </si>
  <si>
    <t>Grahovo ob Bači</t>
  </si>
  <si>
    <t>Podbrdo</t>
  </si>
  <si>
    <t>Solkan</t>
  </si>
  <si>
    <t>Grgar</t>
  </si>
  <si>
    <t>Trnovo pri Gorici</t>
  </si>
  <si>
    <t>Čepovan</t>
  </si>
  <si>
    <t>Šempas</t>
  </si>
  <si>
    <t>Črniče</t>
  </si>
  <si>
    <t>Dobravlje</t>
  </si>
  <si>
    <t>Ajdovščina</t>
  </si>
  <si>
    <t>Vipava</t>
  </si>
  <si>
    <t>Podnanos</t>
  </si>
  <si>
    <t>Col</t>
  </si>
  <si>
    <t>Črni Vrh nad Idrijo</t>
  </si>
  <si>
    <t>Godovič</t>
  </si>
  <si>
    <t>Idrija</t>
  </si>
  <si>
    <t>Spodnja Idrija</t>
  </si>
  <si>
    <t>Cerkno</t>
  </si>
  <si>
    <t>Slap ob Idrijci</t>
  </si>
  <si>
    <t>Šempeter pri Gorici</t>
  </si>
  <si>
    <t>Miren</t>
  </si>
  <si>
    <t>Renče</t>
  </si>
  <si>
    <t>Volčja Draga</t>
  </si>
  <si>
    <t>Dornberk</t>
  </si>
  <si>
    <t>Branik</t>
  </si>
  <si>
    <t>Kostanjevica na Krasu</t>
  </si>
  <si>
    <t>Prvačina</t>
  </si>
  <si>
    <t>Koper - Capodistria</t>
  </si>
  <si>
    <t>Obalno-kraška</t>
  </si>
  <si>
    <t>Koper - Capodistria - poštni predali</t>
  </si>
  <si>
    <t>Sežana</t>
  </si>
  <si>
    <t>Divača</t>
  </si>
  <si>
    <t>Podgorje</t>
  </si>
  <si>
    <t>Vremski Britof</t>
  </si>
  <si>
    <t>Lokev</t>
  </si>
  <si>
    <t>Dutovlje</t>
  </si>
  <si>
    <t>Štanjel</t>
  </si>
  <si>
    <t>Komen</t>
  </si>
  <si>
    <t>Senožeče</t>
  </si>
  <si>
    <t>Hruševje</t>
  </si>
  <si>
    <t>Postojna</t>
  </si>
  <si>
    <t>Planina</t>
  </si>
  <si>
    <t>Kozina</t>
  </si>
  <si>
    <t>Materija</t>
  </si>
  <si>
    <t>Obrov</t>
  </si>
  <si>
    <t>Podgrad</t>
  </si>
  <si>
    <t>Ilirska Bistrica</t>
  </si>
  <si>
    <t>Ilirska Bistrica - Trnovo</t>
  </si>
  <si>
    <t>Knežak</t>
  </si>
  <si>
    <t>Jelšane</t>
  </si>
  <si>
    <t>Prem</t>
  </si>
  <si>
    <t>Košana</t>
  </si>
  <si>
    <t>Pivka</t>
  </si>
  <si>
    <t>Prestranek</t>
  </si>
  <si>
    <t>Dekani</t>
  </si>
  <si>
    <t>Gračišče</t>
  </si>
  <si>
    <t>Marezige</t>
  </si>
  <si>
    <t>Šmarje</t>
  </si>
  <si>
    <t>Črni Kal</t>
  </si>
  <si>
    <t>Pobegi</t>
  </si>
  <si>
    <t>Ankaran/Ancarano</t>
  </si>
  <si>
    <t>Škofije</t>
  </si>
  <si>
    <t>Izola/Isola</t>
  </si>
  <si>
    <t>Portorož/Portorose</t>
  </si>
  <si>
    <t>Piran/Pirano</t>
  </si>
  <si>
    <t>Sečovlje/Sicciole</t>
  </si>
  <si>
    <t>Novo mesto</t>
  </si>
  <si>
    <t>Novo mesto - poštni predali</t>
  </si>
  <si>
    <t>Trebnje</t>
  </si>
  <si>
    <t>Dobrnič</t>
  </si>
  <si>
    <t>Velika Loka</t>
  </si>
  <si>
    <t>Veliki Gaber</t>
  </si>
  <si>
    <t>Mirna Peč</t>
  </si>
  <si>
    <t>Šmarješke Toplice</t>
  </si>
  <si>
    <t>Otočec</t>
  </si>
  <si>
    <t>Mokronog</t>
  </si>
  <si>
    <t>Trebelno</t>
  </si>
  <si>
    <t>Mirna</t>
  </si>
  <si>
    <t>Brežice</t>
  </si>
  <si>
    <t>Čatež ob Savi</t>
  </si>
  <si>
    <t>Artiče</t>
  </si>
  <si>
    <t>Globoko</t>
  </si>
  <si>
    <t>Pišece</t>
  </si>
  <si>
    <t>Sromlje</t>
  </si>
  <si>
    <t>Dobova</t>
  </si>
  <si>
    <t>Kapele</t>
  </si>
  <si>
    <t>Bizeljsko</t>
  </si>
  <si>
    <t>Jesenice na Dolenjskem</t>
  </si>
  <si>
    <t>Krška vas</t>
  </si>
  <si>
    <t>Cerklje ob Krki</t>
  </si>
  <si>
    <t>Krško</t>
  </si>
  <si>
    <t>Zdole</t>
  </si>
  <si>
    <t>Leskovec pri Krškem</t>
  </si>
  <si>
    <t>Raka</t>
  </si>
  <si>
    <t>Škocjan</t>
  </si>
  <si>
    <t>Bučka</t>
  </si>
  <si>
    <t>Brestanica</t>
  </si>
  <si>
    <t>Senovo</t>
  </si>
  <si>
    <t>Koprivnica</t>
  </si>
  <si>
    <t>Blanca</t>
  </si>
  <si>
    <t>Sevnica</t>
  </si>
  <si>
    <t>Zabukovje</t>
  </si>
  <si>
    <t>Studenec</t>
  </si>
  <si>
    <t>Boštanj</t>
  </si>
  <si>
    <t>Tržišče</t>
  </si>
  <si>
    <t>Krmelj</t>
  </si>
  <si>
    <t>Šentjanž</t>
  </si>
  <si>
    <t>Šentjernej</t>
  </si>
  <si>
    <t>Kostanjevica na Krki</t>
  </si>
  <si>
    <t>Podbočje</t>
  </si>
  <si>
    <t>Brusnice</t>
  </si>
  <si>
    <t>Stopiče</t>
  </si>
  <si>
    <t>Uršna sela</t>
  </si>
  <si>
    <t>Metlika</t>
  </si>
  <si>
    <t>Suhor</t>
  </si>
  <si>
    <t>Gradac</t>
  </si>
  <si>
    <t>Semič</t>
  </si>
  <si>
    <t>Črnomelj</t>
  </si>
  <si>
    <t>Adlešiči</t>
  </si>
  <si>
    <t>Stari trg ob Kolpi</t>
  </si>
  <si>
    <t>Dragatuš</t>
  </si>
  <si>
    <t>Vinica</t>
  </si>
  <si>
    <t>Dolenjske Toplice</t>
  </si>
  <si>
    <t>Straža</t>
  </si>
  <si>
    <t>Žužemberk</t>
  </si>
  <si>
    <t>Dvor</t>
  </si>
  <si>
    <t>Hinje</t>
  </si>
  <si>
    <t>Murska Sobota</t>
  </si>
  <si>
    <t>Pomurska</t>
  </si>
  <si>
    <t>Murska Sobota - poštni predali</t>
  </si>
  <si>
    <t>Puconci</t>
  </si>
  <si>
    <t>Mačkovci</t>
  </si>
  <si>
    <t>Petrovci</t>
  </si>
  <si>
    <t>Šalovci</t>
  </si>
  <si>
    <t>Hodoš/Hodos</t>
  </si>
  <si>
    <t>Križevci</t>
  </si>
  <si>
    <t>Prosenjakovci/Partosfalva</t>
  </si>
  <si>
    <t>Fokovci</t>
  </si>
  <si>
    <t>Lendava/Lendva</t>
  </si>
  <si>
    <t>Martjanci</t>
  </si>
  <si>
    <t>Bogojina</t>
  </si>
  <si>
    <t>Dobrovnik/Dobronak</t>
  </si>
  <si>
    <t>Turnišče</t>
  </si>
  <si>
    <t>Velika Polana</t>
  </si>
  <si>
    <t>Moravske Toplice</t>
  </si>
  <si>
    <t>Kobilje</t>
  </si>
  <si>
    <t>Beltinci</t>
  </si>
  <si>
    <t>Črenšovci</t>
  </si>
  <si>
    <t>Odranci</t>
  </si>
  <si>
    <t>Ljutomer</t>
  </si>
  <si>
    <t>Veržej</t>
  </si>
  <si>
    <t>Križevci pri Ljutomeru</t>
  </si>
  <si>
    <t>Mala Nedelja</t>
  </si>
  <si>
    <t>Sveti Jurij ob Ščavnici</t>
  </si>
  <si>
    <t>Spodnji Ivanjci</t>
  </si>
  <si>
    <t>Razkrižje</t>
  </si>
  <si>
    <t>Gornja Radgona</t>
  </si>
  <si>
    <t>Tišina</t>
  </si>
  <si>
    <t>Radenci</t>
  </si>
  <si>
    <t>Apače</t>
  </si>
  <si>
    <t>Cankova</t>
  </si>
  <si>
    <t>Rogašovci</t>
  </si>
  <si>
    <t>Kuzma</t>
  </si>
  <si>
    <t>Grad</t>
  </si>
  <si>
    <t>Bodonci</t>
  </si>
  <si>
    <t>zamejstvo - Italija</t>
  </si>
  <si>
    <t>Zamejstvo</t>
  </si>
  <si>
    <t>zamejstvo - Avstrija</t>
  </si>
  <si>
    <t>zamejstvo - Hrvaška</t>
  </si>
  <si>
    <t>zamejstvo - Madžarska</t>
  </si>
  <si>
    <t>(tujina)</t>
  </si>
  <si>
    <t>Tujina</t>
  </si>
  <si>
    <t>Geo_enota</t>
  </si>
  <si>
    <t>Test</t>
  </si>
  <si>
    <t>CentilXA</t>
  </si>
  <si>
    <t>Slovenija</t>
  </si>
  <si>
    <t>Indeks telesne mase</t>
  </si>
  <si>
    <t>Zdravo</t>
  </si>
  <si>
    <t>Mejno</t>
  </si>
  <si>
    <t>Tvegano</t>
  </si>
  <si>
    <t>sum</t>
  </si>
  <si>
    <t>Sifra</t>
  </si>
  <si>
    <t>Ime</t>
  </si>
  <si>
    <t>Enota</t>
  </si>
  <si>
    <t>Decimalk</t>
  </si>
  <si>
    <t>VisjiBoljsi</t>
  </si>
  <si>
    <t>Opis</t>
  </si>
  <si>
    <t>Formula</t>
  </si>
  <si>
    <t>KratekOpis</t>
  </si>
  <si>
    <t>DaljsiOpis</t>
  </si>
  <si>
    <t>Slika</t>
  </si>
  <si>
    <t>Url</t>
  </si>
  <si>
    <t>KratekOpisPrikaz</t>
  </si>
  <si>
    <t>DovoljenVnos</t>
  </si>
  <si>
    <t>Sirina</t>
  </si>
  <si>
    <t>PorociloOpis</t>
  </si>
  <si>
    <t>ImaCone</t>
  </si>
  <si>
    <t>GrafYminM</t>
  </si>
  <si>
    <t>GrafYmaxM</t>
  </si>
  <si>
    <t>GrafYminZ</t>
  </si>
  <si>
    <t>GrafYmaxZ</t>
  </si>
  <si>
    <t>GrafYStep</t>
  </si>
  <si>
    <t>Ikona</t>
  </si>
  <si>
    <t>Order</t>
  </si>
  <si>
    <t>ATV</t>
  </si>
  <si>
    <t>Telesna višina</t>
  </si>
  <si>
    <t>cm</t>
  </si>
  <si>
    <t> </t>
  </si>
  <si>
    <t>&lt;p style="text-align: justify;"&gt;&lt;strong&gt;TELESNA VIŠINA&lt;/strong&gt; nam daje podatek o dolžinski razsežnosti telesa. V obdobju otroštva telesna višina ves čas raste, z zaključkom adolescence pa se rast ustavi. V odrasli dobi telesna višina ostane konstantna, čeprav dnevno niha predvsem zaradi hidracije vretenčnih diskov. Tekom dneva so posamezniki najvišji zjutraj, najnižji pa zvečer. V odrasli dobi je nižanje telesne višine pokazatelj degenerativnih sprememb hrbtenice. Telesna višina skupaj z drugimi telesnimi merami omogoča oceniti stanje prehranjenosti in določiti morebiten negativen vpliv na nekatere motorične teste.&lt;/p&gt;</t>
  </si>
  <si>
    <t>&lt;p style="text-align: justify;"&gt;Merjenec je bos, stoji vzravnano, stopala ima vzporedno drugo ob drugem. Glavo ima v položaju, v katerem je črta, ki veže spodnji rob očesne orbite in zgornji rob slušne odprtine, vodoravna. Merilec stoji na levi strani merjenca in pazi, da je antropometer navpično (pravokotno na podlago) ter neposredno vzdolž merjenčevega hrbta. Otipa antropometrično točko na temenu merjenca (vertex &amp;ndash; najvišja točka na lobanji), nato pa spusti vodoravno prečko na teme merjenca in odčita rezultat na 1 mm natančno.&lt;/p&gt;</t>
  </si>
  <si>
    <t>~//Portals/MojSlofit//SlikeTestov/visina340e01e0.jpg</t>
  </si>
  <si>
    <t>https://www.slofit.org/SVK-porocilo#ATV</t>
  </si>
  <si>
    <t>&lt;p&gt;&lt;strong&gt;Telesna višina&lt;/strong&gt;&lt;br /&gt; Vpišite rezultat v milimetrih, npr. 135,7 cm vpišite kot 1357.&lt;/p&gt;</t>
  </si>
  <si>
    <t>&lt;div&gt;&lt;b&gt;Telesna višina&lt;/b&gt; nam daje podatek o dolžini telesa. V odrasli dobi je nižanje telesne višine pokazatelj degenerativnih sprememb hrbtenice. Telesna višina skupaj z drugimi telesnimi merami omogoča oceniti stanje prehranjenosti in določiti morebiten negativen vpliv na nekatere gibalne naloge.&lt;/div&gt;</t>
  </si>
  <si>
    <t>~//Portals/MojSlofit//IkoneTestov/ico-atv84cab2ad.svg</t>
  </si>
  <si>
    <t>ATT</t>
  </si>
  <si>
    <t>Telesna masa</t>
  </si>
  <si>
    <t>kg</t>
  </si>
  <si>
    <t>&lt;p style="text-align: justify;"&gt;&lt;strong&gt;TELESNA MASA&lt;/strong&gt; nam daje podatek o skupni masi telesa. Posameznikova telesna masa se spreminja od rojstva naprej, priporočljivo pa je, da po končanem obdobju rasti zdravo telesno maso ohranjamo na približno enaki ravniskozi vse življenje. Grobo merilo zdrave telesne mase dobimo, če od telesne višine odštejemo 100. Telesna masa skupaj z drugimi telesnimi merami omogoča oceniti stanje prehranjenosti.&lt;/p&gt;</t>
  </si>
  <si>
    <t>&lt;p style="text-align: justify;"&gt;Tehtnica mora stati na vodoravni podlagi. Merjenec je bos in oblečen v lahka športna oblačila. Stopi na sredino tehtnice in mirno stoji. Merilec odčita rezultat z natančnostjo 0,1 kg. Tiste, ki želijo pri merjenju zasebnost, izmerimo v posebnem prostoru, kjer ni drugih merjencev.&lt;/p&gt;</t>
  </si>
  <si>
    <t>~//Portals/MojSlofit//SlikeTestov/masa0bf726a1.jpg</t>
  </si>
  <si>
    <t>https://www.slofit.org/SVK-porocilo#ATT</t>
  </si>
  <si>
    <t>&lt;p&gt;&lt;strong&gt;Telesna teža&lt;/strong&gt;&lt;br /&gt; Vpišite rezultat na 0,1 kg natančno brez decimalke, npr. 34,5 kg vpišite kot 345.&lt;/p&gt;</t>
  </si>
  <si>
    <t>&lt;div&gt;&lt;b&gt;Telesna masa&lt;/b&gt; nam daje podatek o skupni masi telesa. Posameznikova telesna masa se spreminja od rojstva naprej, priporočljivo pa je, da po končanem obdobju rasti zdravo telesno maso ohranjamo na približno enaki ravni vse življenje. Telesna masa skupaj z drugimi telesnimi merami omogoča oceniti stanje prehranjenosti.&lt;/div&gt;</t>
  </si>
  <si>
    <t>~//Portals/MojSlofit//IkoneTestov/ico-atta65b6ae8.svg</t>
  </si>
  <si>
    <t>AKG</t>
  </si>
  <si>
    <t>Kožna guba nadlahti</t>
  </si>
  <si>
    <t>mm</t>
  </si>
  <si>
    <t>&lt;p style="text-align: justify;"&gt;&lt;strong&gt;KOŽNA GUBA NADLAHTI&lt;/strong&gt; nam daje podatek o maščobni masi. Ta se spreminja od rojstva naprej, v adolescenci se maščobna masa pri dekletih poveča bolj kot pri fantih. Visoke vrednosti kožne gube nadlahti so znak prekomerne prehranjenosti posameznika, ki povečuje zdravstveno tveganje z vidika obolevanja za srčno-žilnimi boleznimi, diabetesom tipa 2 ter nekaterih vrst rakavih obolenj.&lt;/p&gt;</t>
  </si>
  <si>
    <t>&lt;p style="text-align: justify;"&gt;Merjenec, ki je v vadbenem oblačilu s kratkimi rokavi, stoji vzravnano s sproščenimi rokami. Merilec s palcem in kazalcem, naravnanima vzdolž, dvigne kožno gubo na sredini zadnje strani (nad tricepsom) leve nadlahti. Kožno gubo nato stisne s prsti in z vrhovoma krakov kaliperja in ob pritisku 1 bara odčita rezultat z natančnostjo 1 mm. Tiste, ki želijo pri merjenju zasebnost, izmerimo v posebnem prostoru, kjer ni drugih merjencev.&lt;/p&gt;</t>
  </si>
  <si>
    <t>~//Portals/MojSlofit//SlikeTestov/kozna-guba2444c927.jpg</t>
  </si>
  <si>
    <t>https://www.slofit.org/SVK-porocilo#AKG</t>
  </si>
  <si>
    <t>&lt;p&gt;&lt;strong&gt;Kožna guba&lt;/strong&gt;&lt;br /&gt; Vpišite v milimetrih.&lt;/p&gt;</t>
  </si>
  <si>
    <t>&lt;div&gt;&lt;b&gt;Kožna guba nadlahti&lt;/b&gt; nam daje podatek o maščobni masi. Ta se spreminja od rojstva naprej, v adolescenci se maščobna masa pri dekletih poveča bolj kot pri fantih. Visoke vrednosti kožne gube nadlahti so znak prekomerne prehranjenosti posameznika, ki povečuje zdravstveno tveganje z vidika obolevanja za srčno-žilnimi boleznimi, diabetesom tipa 2 ter nekaterih vrst rakavih obolenj.&lt;/div&gt;</t>
  </si>
  <si>
    <t>~//Portals/MojSlofit//IkoneTestov/ico-akg400063d6.svg</t>
  </si>
  <si>
    <t>DPR</t>
  </si>
  <si>
    <t>Dotikanje plošč z roko</t>
  </si>
  <si>
    <t>pon.</t>
  </si>
  <si>
    <t>&lt;p style="text-align: justify;"&gt;&lt;strong&gt;DOTIKANJE PLOŠČ Z ROKO&lt;/strong&gt; nam daje podatek o hitrosti izmeničnih gibov rok, ki kaže tudi na sposobnost hitrega prenašanja impulzov našega živčnega sistema ter njegovega utrujanja. Nižje vrednosti te merske naloge lahko nakazujejo na slabšo prevodnost živčnega sistema, na prenizek mišični tonus mišic rok in ramenskega obroča ali stabilizatorjev trupa, ki rokam dajejo oporo.&lt;/p&gt;</t>
  </si>
  <si>
    <t>&lt;p style="text-align: justify;"&gt;Merjenec sedi na stolu za mizo, na kateri je deska s ploščama. Višina stola naj bo takšna, da merjenec sedi udobno (med stegni in golenmi je pravi kot, stopala pa se opirajo na tla). Nedominantno roko položi na sredino med plošči, drugo roko pa na ploščo na nasprotni strani. Na znamenje &amp;quot;zdaj&amp;quot; se začne z dominantno roko izmenoma kar najhitreje dotikati obeh plošč. Nalogo opravlja 20 sekund. Vsak dotik obeh plošč šteje eno točko. Zadostuje, da se merjenec dotakne plošče le s konico prsta.&lt;/p&gt;</t>
  </si>
  <si>
    <t>~//Portals/MojSlofit//SlikeTestov/taping3bda9d10.jpg</t>
  </si>
  <si>
    <t>https://www.slofit.org/SVK-porocilo#DPR</t>
  </si>
  <si>
    <t>&lt;p&gt;&lt;strong&gt;Dotikanje plošč z roko&lt;/strong&gt;&lt;br /&gt; Vpišite število ponovitev v 20 sekundah.&lt;br /&gt; Vsak dotik *obeh* plošč šteje kot ena ponovitev.&lt;/p&gt;</t>
  </si>
  <si>
    <t>&lt;div&gt;&lt;b&gt;Dotikanje plošč z roko&lt;/b&gt; nam daje podatek o hitrosti izmeničnih gibov rok ter kaže na sposobnost hitrega prenašanja impulzov našega živčnega sistema in kako se utrudijo. Nižje vrednosti te merske naloge lahko nakazujejo na slabšo prevodnost živčnega sistema, prenizek tonus mišic rok in ramenskega obroča ali stabilizatorjev trupa, ki rokam dajejo oporo.&lt;/div&gt;</t>
  </si>
  <si>
    <t>~//Portals/MojSlofit//IkoneTestov/ico-dprfa8c9b9c.svg</t>
  </si>
  <si>
    <t>SDM</t>
  </si>
  <si>
    <t>Skok v daljino z mesta</t>
  </si>
  <si>
    <t>&lt;p style="text-align: justify;"&gt;&lt;strong&gt;SKOK V DALJINO Z MESTA&lt;/strong&gt; nam daje podatek o eksplozivni moči nog, ki kaže na našo sposobnost proizvajanja maksimalne sile. Nižje vrednosti te merske naloge lahko nakazujejo na premajhno mišično moč stegenskih mišic ali slabšo koordinacijo rok in nog pri odrivu.&lt;/p&gt;</t>
  </si>
  <si>
    <t>&lt;p style="text-align: justify;"&gt;Odskočišče in doskočišče morata biti v isti ravnini na blazini ali posebni preprogi za merjenje skoka v daljino. Mesto odriva je označeno s črto. Merjenec je bos ali obut. Pred odrivom se lahko vzpne na prste, ne sme pa izvesti odriva s poprejšnjim poskokom. S sonožnim odrivom in s pomočjo zamaha z rokami skoči čim dlje. Če odtisi stopal pri doskoku niso jasno vidni, si merjenec pete namaže s kredo ali magnezijo. Merjenec opravi tri skoke, zabeležimo le najdaljšega. Merilec odčita rezultat na 1 cm natančno.&lt;/p&gt;</t>
  </si>
  <si>
    <t>~//Portals/MojSlofit//SlikeTestov/daljina2a77f6d6.jpg</t>
  </si>
  <si>
    <t>https://www.slofit.org/SVK-porocilo#SDM</t>
  </si>
  <si>
    <t>&lt;p&gt;&lt;strong&gt;Skok v daljino z mesta&lt;/strong&gt;&lt;br /&gt; Vpišite v centimetrih, npr. 2m vnesete kot 200.&lt;/p&gt;</t>
  </si>
  <si>
    <t>&lt;div&gt;&lt;b&gt;Skok v daljino z mesta&lt;/b&gt; nam daje podatek o eksplozivni moči nog, ki kaže na našo sposobnost proizvajanja maksimalne sile. Nižje vrednosti te merske naloge lahko nakazujejo na premajhno mišično moč stegenskih mišic ali slabšo koordinacijo rok in nog pri odrivu.&lt;/div&gt;</t>
  </si>
  <si>
    <t>~//Portals/MojSlofit//IkoneTestov/ico-sdm2e04f6d0.svg</t>
  </si>
  <si>
    <t>PON</t>
  </si>
  <si>
    <t>Poligon nazaj</t>
  </si>
  <si>
    <t>s</t>
  </si>
  <si>
    <t>&lt;p style="text-align: justify;"&gt;&lt;strong&gt;POLIGON NAZAJ&lt;/strong&gt; nam daje podatek o koordinaciji gibanja v prostoru, ki kaže na sposobnost regulacije gibanja v prostoru v neobičajnih situacijah. Visoke vrednosti te merske naloge nakazujejo na nižjo sposobnost medsebojnega koordiniranja gibanja različnih delov telesa, kar povečuje tveganje poškodb pri reševanju nepričakovanih gibalnih situacij.&lt;/p&gt;</t>
  </si>
  <si>
    <t>&lt;p&gt;Meritev izvajamo bosi ali obuti na 10-metrskem poligonu. Tri metre od startne črte stoji spodnji del švedske skrinje, na njem pa še oblazinjen pokrov skrinje (višina in širina skrinje je 50 cm +/- 2 cm). Šest metrov od startne črte stoji okvir švedske skrinje, ki meri v globino 23 cm.&lt;/p&gt;  &lt;p&gt;Merjenec se postavi na vse štiri, tako da so njegova stopala tik pred startno črto; s hrbtom je obrnjen proti zaprekam. Teža telesa je enakomerno porazdeljena na roke in noge. Naloga merjenca je, da po znaku &amp;quot;zdaj&amp;quot; s hojo nazaj po vseh štirih (z dlanmi ne sme drseti) preide prostor med označenima črtama. Prvo zapreko mora preplezati, skozi okvir pa zleze. Med izvajanjem naloge lahko merjenec gleda nazaj med nogami, ne sme pa niti za hip obrniti glave. Če merjenec kljub opozorilu obrača glavo ali če podre okvir, se merjenje prekine in nalogo ponovi. Merjenci nalogo enkrat preskusijo brez merjenja časa. Merilec meri čas na 0,1 sekundo natančno od znaka &amp;quot;zdaj&amp;quot; do prehoda z obema rokama prek ciljne črte.&lt;/p&gt;</t>
  </si>
  <si>
    <t>~//Portals/MojSlofit//SlikeTestov/poligon_nazaj.jpg</t>
  </si>
  <si>
    <t>https://www.slofit.org/SVK-porocilo#PON</t>
  </si>
  <si>
    <t>&lt;p&gt;&lt;strong&gt;Premagovanje ovir/poligon nazaj&lt;/strong&gt;&lt;br /&gt; Vpišite v desetinkah sekunde, npr. 11,3 s vpišite kot 113.&lt;/p&gt;</t>
  </si>
  <si>
    <t>&lt;div&gt;&lt;b&gt;Poligon nazaj&lt;/b&gt; nam daje podatek o koordinaciji gibanja v prostoru, ki kaže na sposobnost regulacije gibanja v prostoru v neobičajnih situacijah. Visoke vrednosti te merske naloge nakazujejo na nižjo sposobnost medsebojnega koordiniranja gibanja različnih delov telesa, kar povečuje tveganje poškodb pri reševanju nepričakovanih gibalnih situacij.&lt;/div&gt;</t>
  </si>
  <si>
    <t>~//Portals/MojSlofit//IkoneTestov/ico-ponfaca2bc6.svg</t>
  </si>
  <si>
    <t>DT</t>
  </si>
  <si>
    <t>Dviganje trupa</t>
  </si>
  <si>
    <t>&lt;p style="text-align: justify;"&gt;&lt;strong&gt;DVIGANJE TRUPA&lt;/strong&gt; nam daje podatek o moči in vzdržljivosti mišičja trupa, predvsem upogibalk kolka in abdominalnega mišičja. Nizke vrednosti te merske naloge kažejo na zmanjšano moč mišičja, ki je pomembno za stabilizacijo trupa in ohranjanje zdrave telesne drže.&lt;/p&gt;</t>
  </si>
  <si>
    <t>&lt;p&gt;Merjenec leži na blazini na hrbtu, s pokrčenimi nogami pod pravim kotom, stopala ima v stiku s podlago, merilec pa drži njegove gležnje. Roke ima prekrižane na prsih, dlani pa na nasprotnih ramenih.&lt;/p&gt;  &lt;p style="text-align: justify;"&gt;Izvajanje naloge se začne na merilčev znak, merjenec pa se poskuša v 60-ih sekundah čim večkrat dvigniti iz ležečega v sedeči položaj in spustiti nazaj v ležečega. Pri tem rok ne sme odmakniti od prsi. Posamezni dvig v sed je končan, ko se s komolci dotakne stegna, v začetni položaj pa se vrača tako dolgo, dokler se s sredino hrbta ne dotakne podlage. Rezultat je število pravilno izvedenih dvigov v 60-ih sekundah. Med posameznimi ponovitvami so dovoljeni odmori.&lt;/p&gt;</t>
  </si>
  <si>
    <t>~//Portals/MojSlofit//SlikeTestov/dviganje_trupa8b418a7f.jpg</t>
  </si>
  <si>
    <t>https://www.slofit.org/SVK-porocilo#DT</t>
  </si>
  <si>
    <t>&lt;p&gt;&lt;strong&gt;Dvigovanje trupa&lt;/strong&gt;&lt;br /&gt; Vpišite število dvigov v 60 sekundah.&lt;/p&gt;</t>
  </si>
  <si>
    <t>&lt;div&gt;&lt;b&gt;Dviganje trupa&lt;/b&gt; nam daje podatek o moči in vzdržljivosti mišičja trupa, predvsem upogibalk kolka in abdominalnega mišičja. Nizke vrednosti te merske naloge kažejo na zmanjšano moč mišičja, ki je pomembno za stabilizacijo trupa in ohranjanje zdrave telesne drže.&lt;/div&gt;</t>
  </si>
  <si>
    <t>~//Portals/MojSlofit//IkoneTestov/ico-dtb89dcc78.svg</t>
  </si>
  <si>
    <t>PRE</t>
  </si>
  <si>
    <t>Predklon na klopci</t>
  </si>
  <si>
    <t>&lt;p style="text-align: justify;"&gt;&lt;strong&gt;PREDKLON NA KLOPCI&lt;/strong&gt; nam daje podatek o gibljivosti nog in spodnjega dela hrbtenice. Nizke vrednosti te merske naloge kažejo na prekratke zadnje stegenske mišice, kar predstavlja povišano tveganje poškodb pri sunkovitih gibih nog ter nezmožnost izvajanja gibanj nog s celotno amplitudo, pa tudi na zmanjšano gibljivost spodnjega dela hrbtenice. Hkrati je nizek rezultat tega testa lahko pokazatelj izpostavljenosti povišanem stresu, ki povečuje mišični tonus. Grobo merilo ustrezne gibljivosti nog in spodnjega dela hrbtenice je sposobnost, da smo se ob stegnjenih nogah sposobni s prsti rok dotakniti prstov nog.&lt;/p&gt;</t>
  </si>
  <si>
    <t>&lt;p style="text-align: justify;"&gt;Merjenec bos stoji na klopci s stegnjenimi nogami, stopala so vzporedno. Izvede predklon in pri tem kar najgloblje potisne deščico, ki jo drži merilec ob lesenem merilu. Končni položaj zadrži dve sekundi. Naloge ne sme izvajati s sunkom ali zamahom. Rezultat je položaj deščice, odčitan na navpičnem merilu v cm. Merjenec izvaja nalogo dvakrat. Vpišemo boljši dosežek od obeh poskusov.&lt;/p&gt;</t>
  </si>
  <si>
    <t>~//Portals/MojSlofit//SlikeTestov/predklon83a16e3e.jpg</t>
  </si>
  <si>
    <t>https://www.slofit.org/SVK-porocilo#PRE</t>
  </si>
  <si>
    <t>&lt;p&gt;&lt;strong&gt;Predklon na klopci&lt;/strong&gt;&lt;br /&gt; Vpišite rezultat v celih centimetrih.&lt;/p&gt;</t>
  </si>
  <si>
    <t>&lt;div&gt;&lt;b&gt;Predklon na klopci&lt;/b&gt; nam daje podatek o gibljivosti nog in spodnjega dela hrbtenice. Nizke vrednosti te merske naloge kažejo na prekratke zadnje stegenske mišice, kar predstavlja povišano tveganje poškodb pri sunkovitih gibih nog ter nezmožnost izvajanja gibanj nog s celotno amplitudo, pa tudi na zmanjšano gibljivost spodnjega dela hrbtenice. Hkrati je nizek rezultat tega testa lahko pokazatelj izpostavljenosti povišanem stresu, ki povečuje mišični tonus. Grobo merilo ustrezne gibljivosti nog in spodnjega dela hrbtenice je sposobnost, da smo se ob stegnjenih nogah sposobni s prsti rok dotakniti prstov nog.&lt;/div&gt;</t>
  </si>
  <si>
    <t>~//Portals/MojSlofit//IkoneTestov/ico-pre1cc02ba4.svg</t>
  </si>
  <si>
    <t>VZG</t>
  </si>
  <si>
    <t>Vesa v zgibi</t>
  </si>
  <si>
    <t>&lt;p style="text-align: justify;"&gt;&lt;strong&gt;VESA V ZGIBI&lt;/strong&gt; nam daje podatek o moči in vzdržljivosti rok in ramenskega obroča. Kaže na našo sposobnost obvladovanja mase lastnega telesa, nižje vrednosti te merske naloge pa kažejo na prenizko moč rok in ramenskega obroča ter posledično tveganje neustrezne stabilizacije prsnega dela hrbtenice.&lt;/p&gt;</t>
  </si>
  <si>
    <t>&lt;p style="text-align: justify;"&gt;Merjenec vztraja v vesi na drogu s pokrčenimi rokami v podprijemu čim dlje časa. Ves čas mora imeti brado nad višino droga. Merilec sproži štoparico, ko merjenec zavzame položaj, naloga pa se zaključi, ko se z brado dotakne droga ali ko se brada spusti pod nivo droga. Merjenca med izvajanjem naloge ne smemo spodbujati, lahko pa mu v časovnih presledkih (npr. 20 sekund) povemo rezultat. Rezultat je čas drže v zgibi, izražen na 1 sekundo natančno. Če merjenec izvaja nalogo več kot 2 minuti oziroma 120 sekund, prekinemo izvajanje in zapišemo maksimalni rezultat (120). Če je drog previsok, lahko merjenec pride v veso tudi s pomočjo merilca. Merjence, ki obiskujejo nižje razrede osnovne šole, moramo med izvajanjem naloge varovati, posebno še v trenutku, ko naloge ne zmorejo več.&lt;/p&gt;</t>
  </si>
  <si>
    <t>~//Portals/MojSlofit//SlikeTestov/vesafcfe130d.jpg</t>
  </si>
  <si>
    <t>https://www.slofit.org/SVK-porocilo#VZG</t>
  </si>
  <si>
    <t>&lt;p&gt;&lt;strong&gt;Vesa v zgibi&lt;/strong&gt;&lt;br /&gt; Vpišite rezultat v celih sekundah, npr. 1 minuta in 7 sekund vpišite kot 67.&lt;br /&gt; Največja vrednost (pri kateri se test prekine) je 120 (2 minuti).&lt;/p&gt;</t>
  </si>
  <si>
    <t>&lt;div&gt;&lt;b&gt;Vesa v zgibi&lt;/b&gt; nam daje podatek o moči in vzdržljivosti rok in ramenskega obroča. Kaže na našo sposobnost obvladovanja mase lastnega telesa, nižje vrednosti te merske naloge pa kažejo na prenizko moč rok in ramenskega obroča ter posledično tveganje neustrezne stabilizacije prsnega dela hrbtenice.&lt;/div&gt;</t>
  </si>
  <si>
    <t>~//Portals/MojSlofit//IkoneTestov/ico-vzg56c00b13.svg</t>
  </si>
  <si>
    <t>T60</t>
  </si>
  <si>
    <t>Tek na 60 m</t>
  </si>
  <si>
    <t>&lt;p style="text-align: justify;"&gt;&lt;strong&gt;TEK NA 60 METROV&lt;/strong&gt; nam daje podatek o šprinterski hitrosti, ki kaže tudi na sposobnost hitrega prenašanja impulzov našega živčnega sistema ter njegovega utrujanja. Ta sposobnost je v veliki meri prirojena, vendar je rezultat teka odvisen od več dejavnikov: učinkovitega štarta in štartnega pospeška, razvoja čim višje hitrosti teka, čim manjšega pojemka v zadnjem delu ter pravilne tehnike teka skozi cilj. Višje vrednosti te merske naloge lahko nakazujejo na slabšo prevodnost živčnega sistema, na prenizek mišični tonus spodnjega dela telesa ali na slabšo medmišično koordinacijo.&lt;/p&gt;</t>
  </si>
  <si>
    <t>&lt;p style="text-align: justify;"&gt;Tek se izvaja na vodoravni atletski stezi ali na asfaltni površini, ki ne sme biti spolzka ali kotanjasta. Merjenci so obuti v (tekaške) copate z nedrsečim podplatom. Test izvajajo enkrat, pri čemer morajo čim hitreje preteči razdaljo 60 m. Tečejo v skupini, najmanj pa v paru. Začnejo z visokim štartom. Štartna povelja so: na mesta in žvižg s piščalko. Pri žvižgu štarter na kratko in hitro zamahne z zastavico, ki jo drži vodoravno. Čas merimo s štoparico na 0,1 sekunde natančno.&lt;/p&gt;</t>
  </si>
  <si>
    <t>~//Portals/MojSlofit//SlikeTestov/tek_na_60m_popravljena.jpg</t>
  </si>
  <si>
    <t>https://www.slofit.org/SVK-porocilo#T60</t>
  </si>
  <si>
    <t>&lt;p&gt;&lt;strong&gt;Tek na 60 metrov&lt;/strong&gt;&lt;br /&gt; Vpišite v desetinkah sekunde, npr. 11,3 s vpišite kot 113.&lt;/p&gt;</t>
  </si>
  <si>
    <t>&lt;div&gt;&lt;b&gt;Tek na 60 metrov&lt;/b&gt; nam daje podatek o šprinterski hitrosti, ki kaže tudi na sposobnost hitrega prenašanja impulzov našega živčnega sistema ter njegovega utrujanja. Ta sposobnost je v veliki meri prirojena, vendar je rezultat teka odvisen od več dejavnikov: učinkovitega štarta in štartnega pospeška, razvoja čim višje hitrosti teka, čim manjšega pojemka v zadnjem delu ter pravilne tehnike teka skozi cilj. Višje vrednosti te merske naloge lahko nakazujejo na slabšo prevodnost živčnega sistema, na prenizek mišični tonus spodnjega dela telesa ali na slabšo medmišično koordinacijo.&lt;/div&gt;</t>
  </si>
  <si>
    <t>~//Portals/MojSlofit//IkoneTestov/ico-60me512f90f.svg</t>
  </si>
  <si>
    <t>T600</t>
  </si>
  <si>
    <t>Tek na 600 m</t>
  </si>
  <si>
    <t>&lt;p style="text-align: justify;"&gt;&lt;strong&gt;TEK NA 600 METROV&lt;/strong&gt; nam daje podatek o aerobni moči posameznika. Njena osnova so aerobni energijski procesi, ki so odvisni predvsem od delovanja dihalnega, srčno-žilnega sistema in krvi. Višje vrednosti te merske naloge nakazujejo na poslabšano aerobno vzdržljivost posameznika ter posledično povišano tveganje za srčno-žilna obolenja.&lt;/p&gt;</t>
  </si>
  <si>
    <t>&lt;p style="text-align: justify;"&gt;Tek se izvaja na vodoravnem krožnem tekališču (atletska steza, asfaltna ali travnata površina), ki ne sme biti spolzko ali kotanjasto, en krog pa mora meriti najmanj 120 m. Merjenci so obuti v (tekaške) copate z nedrsečim podplatom. Test izvajajo enkrat, pri čemer morajo čim hitreje preteči razdaljo 600 m. Tisti, ki razdalje ne zmorejo preteči, lahko med tekom tudi hodijo. Začnejo z visokim štartom. Štartna povelja so: na mesta in žvižg s piščalko. Pri žvižgu štarter zamahne z zastavico. Merilec mora pred tekom pojasniti, merjencem, kako razporedijo moči na progi. Čas merimo s štoparico na 1 sekundo natančno. Tisti, ki tečejo (in hodijo) več kot 5 minut, vpišemo rezultat 300, in je hkrati tudi najslabši rezultat, ki ga beležimo.&lt;/p&gt;</t>
  </si>
  <si>
    <t>~//Portals/MojSlofit//SlikeTestov/tekcbbee4a0.jpg</t>
  </si>
  <si>
    <t>https://www.slofit.org/SVK-porocilo#T600</t>
  </si>
  <si>
    <t>&lt;p&gt;&lt;strong&gt;Tek na 600 metrov&lt;/strong&gt;&lt;br /&gt; Vpišite rezultat v celih sekundah, npr. 3 minute in 10 sekund vpišite kot 190 (=3 X 60 +10).&lt;br /&gt; Če rezultat preseže 5 minut, vpišemo 300.&lt;/p&gt;</t>
  </si>
  <si>
    <t>&lt;div&gt;&lt;b&gt;Tek na 600 metrov&lt;/b&gt; nam daje podatek o aerobni moči posameznika. Njena osnova so aerobni energijski procesi, ki so odvisni predvsem od delovanja dihalnega, srčno-žilnega sistema in krvi. Višje vrednosti te merske naloge nakazujejo na poslabšano aerobno vzdržljivost posameznika ter posledično povišano tveganje za srčno-žilna obolenja.&lt;/div&gt;</t>
  </si>
  <si>
    <t>~//Portals/MojSlofit//IkoneTestov/ico-600m8886dc38.svg</t>
  </si>
  <si>
    <t>ITM</t>
  </si>
  <si>
    <t>kg/m2</t>
  </si>
  <si>
    <t>ATT/(ATV/100)^2</t>
  </si>
  <si>
    <t>&lt;p style="text-align: justify;"&gt;&lt;strong&gt;INDEKS TELESNE MASE (ITM)&lt;/strong&gt; je splošni kazalnik sestave telesa, s katerim lahko posameznike razvrščamo v različne razrede prehranjenosti: podhranjenost, normalna prehranjenost,&amp;nbsp;preddebelost&amp;nbsp;in debelost. Izračuna se po enačbi: telesna masa v kilogramih deljeno s kvadratom telesne višine v metrih (kg/m&amp;sup2;). Prekomerna prehranjenost s seboj prinaša povečana tveganja obolevanja za srčno-žilnimi in presnovnimi boleznimi ter nekaterimi vrstami rakavih obolenj.&lt;/p&gt;</t>
  </si>
  <si>
    <t>&lt;p&gt;Zmnožek telesne mase v kilogramih in kvadratom telesne višine v metrih&lt;/p&gt;  &lt;p style="text-align: justify;"&gt;&lt;strong&gt;INDEKS TELESNE MASE&amp;nbsp;(ITM)&lt;/strong&gt; je splošni kazalnik sestave telesa, s katerim lahko posameznike razvrščamo v različne razrede prehranjenosti: podhranjenost, normalna prehranjenost,&amp;nbsp;preddebelost&amp;nbsp;in debelost. Izračuna se po enačbi: telesna masa v kilogramih deljeno s kvadratom telesne višine v metrih (kg/m&amp;sup2;). Prekomerna prehranjenost s seboj prinaša povečana tveganja obolevanja za srčno-žilnimi in presnovnimi boleznimi ter nekaterimi vrstami rakavih obolenj.&amp;nbsp;ITM je zelo groba ocena prehranjenosti in nekateri posamezniki z višjo mišično maso se včasih znajdejo v kategoriji preddebelih, čeprav to niso. Če imamo&amp;nbsp;ob visokem ITM-ju nizke vrednosti kožne gube nadlahti, smo&amp;nbsp;zelo verjetno v območju normalne prehranjenosti.&amp;nbsp;Največjim zdravstvenim tveganjem so izpostavljeni posamezniki, ki imajo ob visokem ITM tudi velik obseg pasu.&lt;/p&gt;  &lt;h2 id="ITM"&gt;&amp;nbsp;&lt;/h2&gt;</t>
  </si>
  <si>
    <t>~//Portals/MojSlofit//SlikeTestov/indeksea103ced.jpg</t>
  </si>
  <si>
    <t>https://www.slofit.org/SVK-porocilo#ITM</t>
  </si>
  <si>
    <t>&lt;div&gt;&lt;strong&gt;Indeks telesne mase (ITM)&lt;/strong&gt; je splošni kazalnik sestave telesa, s katerim lahko posameznike razvrščamo v različne razrede prehranjenosti: podhranjenost, normalna prehranjenost,&amp;nbsp;preddebelost&amp;nbsp;in debelost. Izračuna se po enačbi: telesna masa v kilogramih deljeno s kvadratom telesne višine v metrih (kg/m&amp;sup2;). Prekomerna prehranjenost s seboj prinaša povečana tveganja obolevanja za srčno-žilnimi in presnovnimi boleznimi ter nekaterimi vrstami rakavih obolenj.&amp;nbsp;ITM je zelo groba ocena prehranjenosti in nekateri posamezniki z višjo mišično maso se včasih znajdejo v kategoriji preddebelih, čeprav to niso. Če imamo&amp;nbsp;ob visokem ITM-ju nizke vrednosti kožne gube nadlahti, smo&amp;nbsp;zelo verjetno v območju normalne prehranjenosti.&amp;nbsp;Največjim zdravstvenim tveganjem so izpostavljeni posamezniki, ki imajo ob visokem ITM tudi velik obseg pasu.&lt;/div&gt;</t>
  </si>
  <si>
    <t>ITZ</t>
  </si>
  <si>
    <t>Indeks telesne zmogljivosti</t>
  </si>
  <si>
    <t>centil</t>
  </si>
  <si>
    <t>Povprecje vseh izmerjenih motoričnih sposobnosti.</t>
  </si>
  <si>
    <t>&lt;p style="text-align: justify;"&gt;&lt;strong&gt;INDEKS TELESNE ZMOGLJIVOSTI (ITZ)&lt;/strong&gt; kaže na splošno učinkovitost telesa v gibanju z vidika vseh gibalnih sposobnosti in telesnih značilnosti posameznika hkrati. Izračunan je kot povprečna ocena vseh mer, ki določajo telesno zmogljivost, t.j. dveh telesnih mer, ki sta povezani z zdravjem (ITM &amp;ndash; indeks telesne mase in kožna guba nadlahti) in vseh osmih gibalnih merskih nalog. Izražen je na lestvici 0 (najslabše) do 100 (najboljše), pomeni pa centilno vrednost; tako npr. ITZ=25 pomeni, da ima od učenca s tem indeksom 25 % njegovih vrstnikov slabši in 75 % vrstnikov boljšo&amp;nbsp;telesno&amp;nbsp;zmogljivost.&lt;/p&gt;</t>
  </si>
  <si>
    <t>&lt;p&gt;Povprecje vseh izmerjenih motoricnih&lt;/p&gt;  &lt;p style="text-align: justify;"&gt;&lt;strong&gt;INDEKS TELESNE ZMOGLJIVOSTI (ITZ)&lt;/strong&gt; kaže na splošno učinkovitost telesa v gibanju z vidika vseh gibalnih sposobnosti in telesnih značilnosti posameznika hkrati. Izračunan je kot povprečna ocena vseh mer, ki določajo telesno zmogljivost, t.j. dveh telesnih mer, ki sta povezani z zdravjem (ITM &amp;ndash; indeks telesne mase in kožna guba nadlahti) in vseh osmih gibalnih merskih nalog. Izražen je na lestvici 0 (najslabše) do 100 (najboljše), pomeni pa centilno vrednost; tako npr. ITZ=25 pomeni, da ima od učenca s tem indeksom 25 % njegovih vrstnikov slabši in 75 % vrstnikov boljšo telesno zmogljivost.&lt;/p&gt;</t>
  </si>
  <si>
    <t>https://www.slofit.org/SVK-porocilo#ITZ</t>
  </si>
  <si>
    <t>&lt;div&gt;&lt;b&gt;Indeks telesne zmogljivosti (ITZ)&lt;/b&gt; kaže na splošno učinkovitost telesa v gibanju z vidika vseh gibalnih sposobnosti in telesnih značilnosti posameznika hkrati. Izračunan je kot povprečna ocena vseh mer, ki določajo telesno zmogljivost, t.j. dveh telesnih mer, ki sta povezani z zdravjem (ITM &amp;ndash; indeks telesne mase in kožna guba nadlahti) in vseh osmih gibalnih merskih nalog. Izražen je na lestvici 0 (najslabše) do 100 (najboljše), pomeni pa centilno vrednost; tako npr. ITZ=25 pomeni, da ima od učenca s tem indeksom 25 % njegovih vrstnikov slabši in 75 % vrstnikov boljšo telesno zmogljivost.&lt;/div&gt;</t>
  </si>
  <si>
    <t>OP</t>
  </si>
  <si>
    <t>Obseg pasu</t>
  </si>
  <si>
    <t>&lt;p&gt;&lt;strong&gt;OBSEG PASU &lt;/strong&gt;nam daje informacijo o količini globokega maščevja. Višje vrednosti kažejo na povečano zdravstveno tveganje z vidika obolevanja za srčno-žilnimi in presnovnimi boleznimi.&lt;/p&gt;</t>
  </si>
  <si>
    <t>&lt;p&gt;Zaželeno je, da merjenje izvedemo zjutraj na tešče. Merjenec stoji vzravnano, stopala so vzporedno. Merilec ovije trak okrog merjenčevega pasu na golo kožo ali prek oprijetih oblačil. Obseg izmeri v vodoravni ravnini na sredini med najnižjim rebrom in črevničnim grebenom (iliac crest). Med meritvijo se mora merilni trak prilegati telesu, tako da ne tišči merjenca.&lt;/p&gt;</t>
  </si>
  <si>
    <t>~//Portals/MojSlofit//SlikeTestov/obseg_pasu_popravljena691a9baf.jpg</t>
  </si>
  <si>
    <t>https://www.slofit.org/slofit-nasvet</t>
  </si>
  <si>
    <t>&lt;strong&gt;Obseg pasu&lt;/strong&gt;&lt;br /&gt; Vpišite rezultat v centimetrih (na 0,1 cm natančno).</t>
  </si>
  <si>
    <t>&lt;div&gt;&lt;b&gt;Obseg pasu&lt;/b&gt; je eden od kazalnikov sestave telesa, pri odraslih pa pokazatelj kopičenja globokega  maščevja v centralnem delu telesa  pomeni zdravstveno tveganje za  obolevanje za srčno-žilnimi in  presnovnimi boleznimi.&lt;/div&gt;</t>
  </si>
  <si>
    <t>~//Portals/MojSlofit//IkoneTestov/OP22ef4372.png</t>
  </si>
  <si>
    <t>TH6M</t>
  </si>
  <si>
    <t>6-minutni test hoje</t>
  </si>
  <si>
    <t>m</t>
  </si>
  <si>
    <t>&lt;p&gt;&lt;strong&gt;6-MINUTNI TEST HOJE &lt;/strong&gt;nam daje informacijo o srčno-dihalni vzdržljivosti posameznika, sposobnosti prenosa kisika do mišic in njegove izrabe v aerobnih procesih. Močno srce, ožilje in pljuča olajšajo vsakodnevne napore, prav tako pa je visoka raven aerobne moči povezana z zmanjšanjem tveganja za nastanek nenalezljivih kroničnih bolezni in prezgodnjo smrt. Višje vrednosti te merske naloge nakazujejo na poslabšano srčno-dihalno vzdržljivost posameznika ter posledično povišano tveganje za srčno-žilna obolenja.&lt;/p&gt;</t>
  </si>
  <si>
    <t>&lt;p&gt;Merjenci začnejo mersko nalogo pri startnem stožcu (0 m), ki jih ga določi merilec. Na povelje &amp;raquo;Zdaj!&amp;laquo; začnejo hoditi v smeri urinega kazalca okoli stožcev, kakor hitro zmorejo, in tako hodijo 6 minut. &amp;nbsp;Po preteku 6 minut merilec merjence ustavi in ugotovi prehojeno razdaljo.&lt;/p&gt;</t>
  </si>
  <si>
    <t>&lt;p&gt;&lt;strong&gt;6-minutni test hoje&lt;/strong&gt;&lt;br /&gt; Vpišite rezultat v metrih.&lt;/p&gt;</t>
  </si>
  <si>
    <t>&lt;div&gt;&lt;b&gt;6-minutni test hoje&lt;/b&gt; nam daje podatek o srčno-dihalni vzdržljivosti posameznika, ki predstavlja  sposobnost prenosa kisika do mišic in njegove izrabe v aerobnih procesih. Krajša prehojena razdalja  pri tej nalogi kaže na poslabšano aerobno vzdržljivost posameznika in s tem povišano tveganje za  srčno-žilna obolenja in prezgodnjo smrt.&lt;/div&gt;</t>
  </si>
  <si>
    <t>~//Portals/MojSlofit//IkoneTestov/TH6M90c35a5d.png</t>
  </si>
  <si>
    <t>ST</t>
  </si>
  <si>
    <t>Sorensenov test</t>
  </si>
  <si>
    <t>&lt;p&gt;&lt;strong&gt;SORENSONOV TEST &lt;/strong&gt;nam daje informacijo o vzdržljivosti mišic iztegovalk trupa, s tem pa napoved bolečine v spodnjem delu hrbta. Dobro razvita tovrstna mišična vzdržljivost je pomembna za preprečevanje poškodb, saj omogoča ustrezno telesno držo, zdravje spodnjega dela hrbtenice in celotno delovanje telesa.&lt;/p&gt;</t>
  </si>
  <si>
    <t>&lt;p&gt;Merjenec leži na pokrovu švedske skrinje na trebuhu, tako da sta zgornja roba črevničnih grebenov poravnana z robom skrinje. Merilec prime merjenca za gležnje. Pred začetkom izvajanja merske naloge se merjenec opira z rokami na tla. Naloga merjenca je, da s prekrižanimi rokami na prsih čim dlje izometrično zadrži nepodprt zgornji del telesa v vodoravnem položaju. Merilec meri s štoparico čas pravilnega vztrajanja v opisanem položaju. Ko merjenec ne zmore več zadržati pravilni položaj ali najkasneje po 240 sekundah merilec prekine izvajanje merske naloge.&lt;/p&gt;</t>
  </si>
  <si>
    <t>&lt;p&gt;&lt;strong&gt;Sorensonov test&lt;/strong&gt;&lt;br /&gt; Vpišite rezultat v sekundah.&lt;/p&gt;</t>
  </si>
  <si>
    <t>&lt;div&gt;&lt;b&gt;Sorensonov test&lt;/b&gt; nam daje informacijo o vzdržljivosti mišic  iztegovalk trupa, s tem pa napoved bolečine v spodnjem delu hrbta.  Dobro razvita tovrstna mišična vzdržljivost je pomembna za preprečevanje  poškodb, saj omogoča ustrezno telesno držo, zdravje spodnjega   dela hrbtenice in celotno delovanje telesa.&lt;/div&gt;</t>
  </si>
  <si>
    <t>SP</t>
  </si>
  <si>
    <t>Stisk pesti</t>
  </si>
  <si>
    <t>&lt;p&gt;&lt;strong&gt;STISK PESTI &lt;/strong&gt;nam daje informacijo o največji moči mišic dlani, zapestja in podlahti. Dobra moč ročnega prijema je pomembna za vsakodnevno življenje. Praviloma so ljudje z močnimi rokami močni tudi v drugih delih telesa. Nižje vrednosti te merske naloge nakazujejo na premajhno mišično moč, ki je lahko tudi posledica izgube mišične mase (sarkopenija).&lt;/p&gt;</t>
  </si>
  <si>
    <t>&lt;p&gt;Merilec preveri, ali je kazalec dinamometra na ničli. Merjenec sede na stol z rokami ob telesu in prime dinamometer v dominantno roko, ki jo nato pokrči za 90 stopinj ter postopoma stisne dinamometer kolikor zmore. Merjenec izvede nalogo trikrat.&lt;/p&gt;</t>
  </si>
  <si>
    <t>&lt;p&gt;&lt;strong&gt;Stisk pesti &lt;/strong&gt;&lt;br /&gt; Rezultat zapišemo na desetinko kilograma natančno.&lt;/p&gt;</t>
  </si>
  <si>
    <t>&lt;div&gt;&lt;b&gt;Stisk pesti&lt;/b&gt; nam daje podatek o največji moči posameznika. Ta je v kombinaciji z drugimi gibalnimi  sposobnostmi pomembna za vsakodnevno življenje, zlasti kakovosten in neodvisen način življenja  tudi v starosti.&lt;/div&gt;</t>
  </si>
  <si>
    <t>~//Portals/MojSlofit//IkoneTestov/SP48f133aa.png</t>
  </si>
  <si>
    <t>PS</t>
  </si>
  <si>
    <t>Predklon sede</t>
  </si>
  <si>
    <t>&lt;p&gt;&lt;strong&gt;PREDKLON SEDE &lt;/strong&gt;nam daje informacijo o gibljivosti nog in spodnjega dela hrbtenice. Nizke vrednosti te merske naloge kažejo na prekratke zadnje stegenske mišice, kar predstavlja povišano tveganje poškodb pri sunkovitih gibih nog ter nezmožnost izvajanja gibanj nog s celotno amplitudo, pa tudi na zmanjšano gibljivost spodnjega dela hrbtenice. Hkrati je nizek rezultat tega testa lahko pokazatelj izpostavljenosti povišanem stresu, ki povečuje mišični tonus. Grobo merilo ustrezne gibljivosti nog in spodnjega dela hrbtenice je sposobnost, da smo se ob stegnjenih nogah sposobni s prsti rok dotakniti prstov nog.&lt;/p&gt;</t>
  </si>
  <si>
    <t>&lt;p&gt;Merjenec opravlja nalogo brez obutve, na voljo ima dve ponovitvi. S stegnjenimi nogami sonožno sedi pred škatlo, z vso površino stopal pa je oprt v škatlo. Z rokami v predročenju (na točki 0 cm) se predkloni, tako da počasi potiska dlani čim dlje po merilni skali, pri tem pa so roke in noge popolnoma stegnjene. V končnem položaju zadrži predklon tako dolgo, da merilec odčita rezultat.&lt;/p&gt;</t>
  </si>
  <si>
    <t>&lt;p&gt;&lt;strong&gt;Predklon sede&lt;/strong&gt;&lt;br /&gt; Rezultat zapišemo na centimeter natančno.&lt;/p&gt;</t>
  </si>
  <si>
    <t>&lt;div&gt;&lt;b&gt;Predklon sede&lt;/b&gt; nam daje podatek o gibljivosti nog in spodnjega dela hrbtenice. Nizke vrednosti  naloge kažejo na prekratke zadnje stegenske mišice in zmanjšano gibljivost spodnjega dela hrbtenice.  To predstavlja povišano tveganje poškodb pri sunkovitih gibih nog in nezmožnost izvajanja gibanj nog  s celotno amplitudo.&lt;/div&gt;</t>
  </si>
  <si>
    <t>~//Portals/MojSlofit//IkoneTestov/PSbbfcc814.jpg</t>
  </si>
  <si>
    <t>NS</t>
  </si>
  <si>
    <t>Navpični skok</t>
  </si>
  <si>
    <t>&lt;p&gt;&lt;strong&gt;NAVPIČNI SKOK &lt;/strong&gt;nam daje informacijo o eksplozivni moči nog, ki kaže na našo sposobnost proizvajanja maksimalne sile. Nižje vrednosti te merske naloge lahko nakazujejo na premajhno mišično moč stegenskih mišic ali slabšo koordinacijo rok in nog pri odrivu. V kombinacijami z ostalimi gibalnimi sposobnostmi je ta sposobnost pomembna za ohranjanje vitalnosti v pozno starost. Pri padcu ali izgubi ravnotežja nam omogoča boljše obvladovanje takšnih okoliščin.&amp;nbsp;&amp;nbsp; &amp;nbsp;&lt;/p&gt;</t>
  </si>
  <si>
    <t>&lt;p&gt;Merjenec stopi bočno ob steno, tako da je njegova dominanta roka bližje steni in vzporedna z merilnim trakom na steni. Vzpne se na prste in hkrati vzroči dominanto roko, tako da se konice prstov v najvišjem položaju dotaknejo traku ob steni. Merilec odčita vrednost (dosežne višine) na centimeter natančno in ta rezultat zabeleži. Merjenec si namaže konice prstov dominantne roke s kredo in stopi 10 centimetrov od stene (še vedno je bočno ob steni in vzporedno z merilnim trakom). S sonožnim odrivom in pomočjo zamaha z rokami skoči čim višje ter se v najvišji točki leta s konicami prstov dominantne roke dotakne merilnega traku. Merilec odčita rezultat najvišjega &amp;raquo;odtisa krede&amp;laquo; na merilnem traku in izračuna višino skoka. Merjenec ima na voljo tri poskuse, v zbirko pa se zabeleži samo najboljši rezultat.&lt;/p&gt;</t>
  </si>
  <si>
    <t>&lt;p&gt;&lt;strong&gt;Navpični skok&lt;/strong&gt;&lt;br /&gt; Rezultat zapišemo na centimeter natančno.&lt;/p&gt;</t>
  </si>
  <si>
    <t>&lt;div&gt;&lt;b&gt;Navpični skok&lt;/b&gt; je kazalnik eksplozivne moči nog. Tako lahko ocenimo posameznikovo sposobnost  proizvajanja maksimalne sile, ki je pomembna pri vsakdanjih opravilih. Nižji rezultat nakazuje na  premajhno moč stegenskih mišic ali slabo koordinacijo rok in nog pri odrivu.&lt;/div&gt;</t>
  </si>
  <si>
    <t>~//Portals/MojSlofit//IkoneTestov/NS9f148f1f.png</t>
  </si>
  <si>
    <t>TT</t>
  </si>
  <si>
    <t>T-test</t>
  </si>
  <si>
    <t>&lt;p&gt;&lt;strong&gt;T-TEST &lt;/strong&gt;nam daje informacijo o agilnosti, t.j. sposobnosti hitrega spreminjanja hitrosti in smeri gibanja celega telesa v prostoru. Ta gibalna sposobnost nam pride prav pri vrsti telesnih dejavnosti in v vsakdanjem življenju (npr. tudi pri preprečevanju poškodb v nepredvidljivih okoliščinah). S starostjo vse navedene sposobnosti upadajo, zato starejši ljudje za izvedbo te merske naloge običajno potrebujejo več časa. Nižje vrednosti nakazujejo na slabšo usklajenost gibanja.&lt;/p&gt;</t>
  </si>
  <si>
    <t>&lt;p paraeid="{5d5383f5-4bc6-42b6-898d-f2cde46e7065}{179}" paraid="793410085"&gt;Merjenec na znak merilca z visokega štarta čim hitreje steče po poligonu v obliki črke T po opredeljenem načinu gibanja: najprej naravnost naprej, s prisunskimi koraki in vzratno, pri čemer se mora vmes dotikati oznak (stožcev). Merilec ustavi štoparico, ko merjenec prestopi štartno-ciljno črto.&lt;/p&gt;</t>
  </si>
  <si>
    <t>&lt;p&gt;&lt;strong&gt;T-test&lt;/strong&gt;&lt;br /&gt; Rezultat zapišemo na desetinko sekunde natančno.&lt;/p&gt;</t>
  </si>
  <si>
    <t>&lt;div&gt;&lt;b&gt;T-test&lt;/b&gt; nam daje informacijo o agilnosti, t.j. sposobnosti  hitrega spreminjanja hitrosti in smeri gibanja celega telesa v prostoru.  Ta gibalna sposobnost nam pride prav pri vrsti telesnih dejavnosti in  v vsakdanjem življenju (npr. tudi pri preprečevanju poškodb v nepredvidljivih  okoliščinah). S starostjo vse navedene sposobnosti upadajo, zato starejši  ljudje za izvedbo te merske naloge običajno potrebujejo več časa. Nižje vrednosti  nakazujejo na slabšo usklajenost gibanja.&lt;/div&gt;</t>
  </si>
  <si>
    <t>UT</t>
  </si>
  <si>
    <t>Upogibanje trupa</t>
  </si>
  <si>
    <t>&lt;div&gt;&lt;b&gt;Upogibanje trupa&lt;/b&gt; nam daje podatek o vzdržljivosti v moči upogibalk trupa in kolka, ki so pomembne pri stabilizaciji trupa. Nižje število ponovitev kaže na povišano tveganje za poškodbe in pojav bolečin v spodnjem delu hrbta.&lt;/div&gt;</t>
  </si>
  <si>
    <t>~//Portals/MojSlofit//IkoneTestov/UTdc2cac75.png</t>
  </si>
  <si>
    <t>OSM</t>
  </si>
  <si>
    <t>Tek v osmici</t>
  </si>
  <si>
    <t>&lt;div&gt;&lt;b&gt;Tek v osmici&lt;/b&gt; je pokazatelj agilnosti, t.j. sposobnosti hitrega spreminjanja hitrosti in  smeri gibanja celega telesa v prostoru. Višje vrednosti predstavljajo povečano tveganje za poškodbe pri reševanju  nepričakovanih gibalnih situacij.&lt;/div&gt;</t>
  </si>
  <si>
    <t>~//Portals/MojSlofit//IkoneTestov/OSMb50be99d.png</t>
  </si>
  <si>
    <t>VSS</t>
  </si>
  <si>
    <t>Vstajanje s stola</t>
  </si>
  <si>
    <t>&lt;p paraeid="{7991bce4-c3bc-40d4-a0fd-d8eb332738b8}{170}" paraid="1271652344"&gt;&lt;strong&gt;VSTAJANJE S STOLA&lt;/strong&gt; nam daje informacijo o vzdržljivosti mišic nog.&amp;nbsp;&lt;/p&gt;</t>
  </si>
  <si>
    <t>&lt;p&gt;Merjenec sedi na stolu ob steni z rokami prekrižanimi na prsih in s stopali v širini ramen. S hrbtom je naslonjen na naslonjalo stola. Na znak se iz sedečega položaja vstane v popoln stoječ položaj in se usede nazaj. Merjenec izvede čim več ponovitev v 30 sekundah.&lt;/p&gt;</t>
  </si>
  <si>
    <t>&lt;strong&gt;Vstajanje s stola&lt;/strong&gt;&lt;br /&gt; Vpišite število popolnih ponovitev.</t>
  </si>
  <si>
    <t>&lt;div&gt;&lt;b&gt;Vstajanje s stola&lt;/b&gt; nam daje informacijo o vzdržljivosti mišic nog.&lt;/div&gt;</t>
  </si>
  <si>
    <t>UK</t>
  </si>
  <si>
    <t>Upogib komolca</t>
  </si>
  <si>
    <t>&lt;p paraeid="{7991bce4-c3bc-40d4-a0fd-d8eb332738b8}{208}" paraid="1723496446"&gt;UPOGIB KOMOLCA nam daje informacijo o vzdržljivosti mišic rok.&amp;nbsp;&lt;/p&gt;</t>
  </si>
  <si>
    <t>&lt;p&gt;Merjenec sedi na robu stola in v dominantni (močnejši) roki ob telesu drži utež, ki tehta 3,5 kg za moške in 2,5 kg za ženske. Merjenec v popolnem obsegu izvede upogib komolca, tako da na koncu giba dlan obrne proti stropu (supinacija). Nato se z iztegom komolca vrne v začetni položaj. Merjenec izvede čim več ponovitev v 30 sekundah.&amp;nbsp;&lt;/p&gt;</t>
  </si>
  <si>
    <t>&lt;strong&gt;Upogib komolca&lt;/strong&gt;&lt;br /&gt; Vpišite rezultat popolnih ponovitev.</t>
  </si>
  <si>
    <t>&lt;div&gt;&lt;b&gt;Upogib komolca&lt;/b&gt; nam daje informacijo o vzdržljivosti mišic rok.&lt;/div&gt;</t>
  </si>
  <si>
    <t>DS</t>
  </si>
  <si>
    <t>Doseg sede</t>
  </si>
  <si>
    <t>&lt;p paraeid="{bddf16a4-3736-43d6-8f34-8621e1559eb2}{1}" paraid="1299973924"&gt;DOSEG SEDE nam daje informacijo o gibljivosti spodnjega dela telesa.&amp;nbsp;&lt;/p&gt;</t>
  </si>
  <si>
    <t>&lt;p paraeid="{bddf16a4-3736-43d6-8f34-8621e1559eb2}{11}" paraid="598515592"&gt;Merjenec sedi na robu stola z eno nogo pokrčeno v kolenu in stopalom na tleh, druga noga pa je iztegnjena s peto na tleh in stopalom pravokotno na golenico. Roki sta položeni ena na drugo, tako da se sredinca obeh dlani prekrivata. Merjenec vdihne in se z izdihom s konicami prstov približa prstom na iztegnjeni nogi, pri čemer vzdržuje raven hrbet in glavo pokonci. Končni položaj zadrži 2 sekundi. Merilec odčita razdaljo na centimeter natančno od sredinca do konice obuvala. Če se konice prstov dotikajo konice obuvala je rezultat 0; če so nad konico obuvala, je pred rezultatom znak minus, če so pod konico obuvala, se rezultat zapiše s predznakom plus.&amp;nbsp;&amp;nbsp;&lt;/p&gt;</t>
  </si>
  <si>
    <t>&lt;strong&gt;Doseg sede&lt;/strong&gt;&lt;br /&gt; Vpišite rezultat na centimeter natančno.</t>
  </si>
  <si>
    <t>&lt;div&gt;&lt;b&gt;Doseg sede&lt;/b&gt; nam daje informacijo o gibljivosti spodnjega dela telesa.&lt;/div&gt;</t>
  </si>
  <si>
    <t>PH</t>
  </si>
  <si>
    <t>Praskanja hrbta</t>
  </si>
  <si>
    <t>&lt;p paraeid="{bddf16a4-3736-43d6-8f34-8621e1559eb2}{35}" paraid="59400653"&gt;&lt;strong&gt;PRASKANJE&amp;nbsp;HRBTA&lt;/strong&gt; nam daje informacijo o gibljivosti ramenskega obroča.&amp;nbsp;&lt;/p&gt;</t>
  </si>
  <si>
    <t>&lt;p paraeid="{bddf16a4-3736-43d6-8f34-8621e1559eb2}{45}" paraid="1664842618"&gt;Merjenec stoji tako, da položi eno roko za vrat in s prsti drsi po hrbti navzdol, drugo roko pa na hrbet in z njo drsi navzgor. Z drsenjem dlani po hrbtu skuša prekrižati prste obeh rok. Na vsaki strani merjenec opravi dva poskusa, nato pa izbere bolj gibljivo stran, kjer se rezultat odčita po prvem poskusu. Merilec odčita razdaljo med konicama srednjih prstov na centimeter natančno. Če se konici prstov dotikata, je rezultat 0; če se ne dotikata, je pred rezultatom znak minus; če se prekrivata, pa je pred rezultatom znak plus.&amp;nbsp;&lt;/p&gt;</t>
  </si>
  <si>
    <t>&lt;strong&gt;Test praskanja hrbta&lt;/strong&gt;&lt;br /&gt; Vpišite rezultat na centimeter natančno z ustreznim predznakom (minus ali plus).</t>
  </si>
  <si>
    <t>&lt;div&gt;&lt;b&gt;Praskanje hrbta&lt;/b&gt; nam daje informacijo o gibljivosti ramenskega obroča. &lt;/div&gt;</t>
  </si>
  <si>
    <t>VIP</t>
  </si>
  <si>
    <t>Vstani in pojdi</t>
  </si>
  <si>
    <t>&lt;p paraeid="{bddf16a4-3736-43d6-8f34-8621e1559eb2}{103}" paraid="1129916049"&gt;&lt;strong&gt;VSTANI IN POJDI&lt;/strong&gt; nam daje informacijo o koordinaciji gibanja telesa, ravnotežju in agilnosti.&lt;/p&gt;</t>
  </si>
  <si>
    <t>&lt;p paraeid="{bddf16a4-3736-43d6-8f34-8621e1559eb2}{111}" paraid="2036710248"&gt;Merjenec z rokama na stegnih sedi na stolu, ki je postavljen ob steno. Na razdalji 2,4 metra je postavljen klobuček. Naloga merjenca je, da na znak v čim krajšem času prehodi zahtevano razdaljo (okoli klobučka) in se vrne v začetni položaj. Rezultat testa je čas, ki ga merjenec potrebuje za izvedbo naloge.&amp;nbsp;&lt;/p&gt;</t>
  </si>
  <si>
    <t>&lt;strong&gt;Vstani in pojdi&lt;/strong&gt;&lt;br /&gt; Vpišite rezultat na desetinko sekunde natančno.</t>
  </si>
  <si>
    <t>&lt;div&gt;&lt;b&gt;Vstani in pojdi&lt;/b&gt; nam daje informacijo o koordinaciji gibanja telesa, ravnotežju in agilnosti.&lt;/div&gt;</t>
  </si>
  <si>
    <t>TS2M</t>
  </si>
  <si>
    <t>Stopanje na mestu 2 min.</t>
  </si>
  <si>
    <t>&lt;p paraeid="{bddf16a4-3736-43d6-8f34-8621e1559eb2}{241}" paraid="220081021"&gt;&lt;strong&gt;STOPANJE&amp;nbsp;NA MESTU 2 min &lt;/strong&gt;nam daje informacijo o srčno-dihalni vzdržljivosti posameznika, sposobnosti prenosa kisika do mišic in njegove izrabe v aerobnih procesih. Močno srce, ožilje in pljuča olajšajo vsakodnevne napore, prav tako pa je visoka raven aerobne moči povezana z zmanjšanjem tveganja za nastanek nenalezljivih kroničnih bolezni in prezgodnjo smrt.&amp;nbsp;&amp;nbsp;&lt;/p&gt;_x005F_x000D_</t>
  </si>
  <si>
    <t>&lt;p paraeid="{18e9cfd9-fb3b-47df-a150-94b7ebf59ebf}{18}" paraid="1139488741"&gt;Merjenec stoji ob steni, na kateri označimo višino med pogačico in črevničnim grebenom. Naloga merjenca je, da 2 minuti na mestu dviguje kolena do višine oznake na steni. Pri vsakem koraku se mora merjenec s celotnim podplatom dotakniti tal. Merilec šteje dvige desnega kolena do označene višine ter vsakih 30 sekund sporoči merjencu, koliko časa še ima na voljo.&amp;nbsp;&amp;nbsp;&lt;/p&gt;_x005F_x000D_</t>
  </si>
  <si>
    <t>&lt;p&gt;&lt;strong&gt;Stopanje&amp;nbsp;na mestu 2 min.&lt;/strong&gt;&lt;br /&gt;_x005F_x000D_ Vpišite rezultat popolnih ponovitev.&lt;/p&gt;_x005F_x000D_</t>
  </si>
  <si>
    <t>&lt;div&gt;&lt;b&gt;Stopanje na mestu 2 min&lt;/b&gt; nam daje informacijo o srčno-dihalni vzdržljivosti posameznika, sposobnosti prenosa kisika do mišic in njegove izrabe v aerobnih procesih. Močno srce, ožilje in pljuča olajšajo vsakodnevne napore, prav tako pa je visoka raven aerobne moči povezana z zmanjšanjem tveganja za nastanek nenalezljivih kroničnih bolezni in prezgodnjo smrt.&lt;/div&gt;</t>
  </si>
  <si>
    <t>TSS</t>
  </si>
  <si>
    <t>Tek s spremembami smeri</t>
  </si>
  <si>
    <t>stopenj</t>
  </si>
  <si>
    <t>&lt;p&gt;&lt;strong&gt;TEK S SPREMEMBAMI SMERI&lt;/strong&gt; (angl. 20-m shuttle run) kaže srčno-dihalno zmogljivost. Ta je bistvena za dolgotrajnešo opravljanje visoko intenzivne telesne dejavnosti in je ključna sestavina telesne zmogljivosti z vidika ocene in napovedovanja zdravstvenega stanja.&lt;/p&gt;</t>
  </si>
  <si>
    <t>&lt;p&gt;Na tleh označeni dve črti, ki sta oddaljeni 20 metrov. Zvočni signal (pisk) označuje začetek testa. Otroci nato tečejo do nasprotne črte, ki jo morajo doseči, preden se oglasi naslednji signal. Ko se oglasi naslednji signal, otrok spet teče na nasprotni konec. Začetna hitrost je nastavljena na 8,5 km/h in se v vsaki približno 1-minutni fazi povečuje za 0,5 km/h. Cilj je čim dlje slediti ritmu zvočnih znakov. Test se konča, ko merjenec ne more več slediti nastavljenemu ritmu ali se počuti nezmožnega dokončati enominutnega obdobja. Ta test se izvede samo enkrat. Rezultat se zabeleži kot zadnja polovica stopnje, ki jo je otrok dokončal, npr. rezultat 6,5 stopnje.&lt;/p&gt;</t>
  </si>
  <si>
    <t>~//Portals/MojSlofit//SlikeTestov/tekcbbee4a0f2ce0b23.jpg</t>
  </si>
  <si>
    <t>&lt;p&gt;&lt;strong&gt;Tek s spremembami smeri&lt;/strong&gt;&lt;br /&gt; Vpišite v stopnjah, npr. za šest in pol stopnje vpišiete 65 (=6,5).&lt;/p&gt;</t>
  </si>
  <si>
    <t>&lt;p&gt;&amp;lt;div&amp;gt;&amp;lt;b&amp;gt;Tek s spremembami smeri&amp;lt;/b&amp;gt; &amp;nbsp;kaže srčno-dihalno zmogljivost (splošno vzdržjivost telesa za dolgotrajnejše opravljanje vidoko intenzivne telesne dejavnosti). Nižje (slabše) vrednosti te merske naloge nakazujejo na povišano tveganje za nastanek nekaterih bolezni (koronarna bolezen srca, sladkorna bolezen tipa 2, kronična obstruktivna pljučna bolezen idr.).&amp;lt;/div&amp;gt;&lt;/p&gt;</t>
  </si>
  <si>
    <t>~//Portals/MojSlofit//IkoneTestov/ico-600m8886dc38526088b1.svg</t>
  </si>
  <si>
    <t>x1</t>
  </si>
  <si>
    <t>x2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</si>
</sst>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name val="Arial CE"/>
      <charset val="238"/>
    </font>
    <font>
      <sz val="11"/>
      <name val="Arial CE"/>
      <family val="2"/>
      <charset val="238"/>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3" fillId="0" borderId="0" applyFont="0" applyFill="0" applyBorder="0" applyAlignment="0" applyProtection="0"/>
  </cellStyleXfs>
  <cellXfs count="5">
    <xf numFmtId="0" fontId="0" fillId="0" borderId="0" xfId="0"/>
    <xf numFmtId="0" fontId="2" fillId="2" borderId="0" xfId="1" applyFont="1" applyFill="1"/>
    <xf numFmtId="0" fontId="0" fillId="0" borderId="1" xfId="0" applyBorder="1"/>
    <xf numFmtId="9" fontId="0" fillId="0" borderId="0" xfId="2" applyFont="1"/>
    <xf numFmtId="0" fontId="0" fillId="2" borderId="0" xfId="0" applyFill="1"/>
  </cellXfs>
  <cellStyles count="3">
    <cellStyle name="Navadno" xfId="0" builtinId="0"/>
    <cellStyle name="Normal 2" xfId="1" xr:uid="{BDBFD1E4-62EC-41BE-B39B-390F134CCF6B}"/>
    <cellStyle name="Odstotek" xfId="2"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eskošek, Bojan" id="{B0A86080-3FF1-41DA-B9EB-1C8139C00CC1}" userId="S::Bojan.Leskosek@fsp.uni-lj.si::01467edb-a248-43f6-847c-bdc254055f4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4-01T17:39:40.25" personId="{B0A86080-3FF1-41DA-B9EB-1C8139C00CC1}" id="{27CA99E9-B9D0-4DB6-9B7E-D9517DFCF062}">
    <text>SELECT TABLE_NAME FROM INFORMATION_SCHEMA.TABLES where TABLE_NAME like '%regi%'  --WHERE TABLE_TYPE='BASE TABLE'
select top 945 * from FitnessMapStates --212 občin
select top 45 * from FitnessMapRegions --12 regij
select top 945 * from FitnessMapStateInRegion --212 povezav
select top 945 * from PostalCodes -- 483 pošte</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6-04-16T13:20:42.67" personId="{B0A86080-3FF1-41DA-B9EB-1C8139C00CC1}" id="{432E0AA6-1FCB-404B-9197-2574646D5026}">
    <text>0 pomeni, da je nižji rezultat boljši</text>
  </threadedComment>
  <threadedComment ref="Z1" dT="2026-04-16T13:36:54.11" personId="{B0A86080-3FF1-41DA-B9EB-1C8139C00CC1}" id="{2E559316-C50F-43A0-B008-EF5C41EC88EA}">
    <text>Vrstni red prikaza testov, nižja vrednost je zgoraj/na levi</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2429-7C2F-4F66-8473-E5883182A4B5}">
  <dimension ref="A1:E2"/>
  <sheetViews>
    <sheetView workbookViewId="0">
      <selection activeCell="C1" sqref="C1"/>
    </sheetView>
  </sheetViews>
  <sheetFormatPr defaultRowHeight="14.45"/>
  <cols>
    <col min="1" max="1" width="4.7109375" customWidth="1"/>
    <col min="4" max="4" width="16.42578125" bestFit="1" customWidth="1"/>
    <col min="5" max="5" width="17.42578125" bestFit="1" customWidth="1"/>
  </cols>
  <sheetData>
    <row r="1" spans="1:5">
      <c r="A1" t="s">
        <v>0</v>
      </c>
      <c r="B1" t="s">
        <v>1</v>
      </c>
      <c r="C1" t="s">
        <v>2</v>
      </c>
      <c r="D1" t="s">
        <v>3</v>
      </c>
      <c r="E1" t="s">
        <v>4</v>
      </c>
    </row>
    <row r="2" spans="1:5">
      <c r="A2">
        <v>1</v>
      </c>
      <c r="B2">
        <v>47894</v>
      </c>
      <c r="C2">
        <v>8</v>
      </c>
      <c r="D2" t="s">
        <v>5</v>
      </c>
      <c r="E2"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568C5-8FBE-4766-AEDF-5332C1C2AFD5}">
  <dimension ref="A1:E484"/>
  <sheetViews>
    <sheetView workbookViewId="0">
      <pane ySplit="1" topLeftCell="A2" activePane="bottomLeft" state="frozen"/>
      <selection pane="bottomLeft" activeCell="B263" sqref="B263:C484"/>
    </sheetView>
  </sheetViews>
  <sheetFormatPr defaultRowHeight="14.45"/>
  <cols>
    <col min="3" max="3" width="28.7109375" bestFit="1" customWidth="1"/>
    <col min="4" max="4" width="18.7109375" bestFit="1" customWidth="1"/>
  </cols>
  <sheetData>
    <row r="1" spans="1:5">
      <c r="A1" t="s">
        <v>0</v>
      </c>
      <c r="B1" t="s">
        <v>7</v>
      </c>
      <c r="C1" t="s">
        <v>8</v>
      </c>
      <c r="D1" t="s">
        <v>9</v>
      </c>
      <c r="E1" t="s">
        <v>2</v>
      </c>
    </row>
    <row r="2" spans="1:5">
      <c r="A2">
        <v>190</v>
      </c>
      <c r="B2">
        <v>1000</v>
      </c>
      <c r="C2" t="s">
        <v>10</v>
      </c>
      <c r="D2" t="s">
        <v>11</v>
      </c>
      <c r="E2">
        <f>_xlfn.XLOOKUP(D2,Regije!B:B,Regije!A:A)</f>
        <v>8</v>
      </c>
    </row>
    <row r="3" spans="1:5">
      <c r="A3">
        <v>191</v>
      </c>
      <c r="B3">
        <v>1001</v>
      </c>
      <c r="C3" t="s">
        <v>12</v>
      </c>
      <c r="D3" t="s">
        <v>11</v>
      </c>
      <c r="E3">
        <f>_xlfn.XLOOKUP(D3,Regije!B:B,Regije!A:A)</f>
        <v>8</v>
      </c>
    </row>
    <row r="4" spans="1:5">
      <c r="A4">
        <v>195</v>
      </c>
      <c r="B4">
        <v>1002</v>
      </c>
      <c r="C4" t="s">
        <v>13</v>
      </c>
      <c r="D4" t="s">
        <v>11</v>
      </c>
      <c r="E4">
        <f>_xlfn.XLOOKUP(D4,Regije!B:B,Regije!A:A)</f>
        <v>8</v>
      </c>
    </row>
    <row r="5" spans="1:5">
      <c r="A5">
        <v>196</v>
      </c>
      <c r="B5">
        <v>1210</v>
      </c>
      <c r="C5" t="s">
        <v>14</v>
      </c>
      <c r="D5" t="s">
        <v>11</v>
      </c>
      <c r="E5">
        <f>_xlfn.XLOOKUP(D5,Regije!B:B,Regije!A:A)</f>
        <v>8</v>
      </c>
    </row>
    <row r="6" spans="1:5">
      <c r="A6">
        <v>197</v>
      </c>
      <c r="B6">
        <v>1211</v>
      </c>
      <c r="C6" t="s">
        <v>15</v>
      </c>
      <c r="D6" t="s">
        <v>11</v>
      </c>
      <c r="E6">
        <f>_xlfn.XLOOKUP(D6,Regije!B:B,Regije!A:A)</f>
        <v>8</v>
      </c>
    </row>
    <row r="7" spans="1:5">
      <c r="A7">
        <v>225</v>
      </c>
      <c r="B7">
        <v>1215</v>
      </c>
      <c r="C7" t="s">
        <v>16</v>
      </c>
      <c r="D7" t="s">
        <v>11</v>
      </c>
      <c r="E7">
        <f>_xlfn.XLOOKUP(D7,Regije!B:B,Regije!A:A)</f>
        <v>8</v>
      </c>
    </row>
    <row r="8" spans="1:5">
      <c r="A8">
        <v>349</v>
      </c>
      <c r="B8">
        <v>1216</v>
      </c>
      <c r="C8" t="s">
        <v>17</v>
      </c>
      <c r="D8" t="s">
        <v>11</v>
      </c>
      <c r="E8">
        <f>_xlfn.XLOOKUP(D8,Regije!B:B,Regije!A:A)</f>
        <v>8</v>
      </c>
    </row>
    <row r="9" spans="1:5">
      <c r="A9">
        <v>447</v>
      </c>
      <c r="B9">
        <v>1217</v>
      </c>
      <c r="C9" t="s">
        <v>18</v>
      </c>
      <c r="D9" t="s">
        <v>11</v>
      </c>
      <c r="E9">
        <f>_xlfn.XLOOKUP(D9,Regije!B:B,Regije!A:A)</f>
        <v>8</v>
      </c>
    </row>
    <row r="10" spans="1:5">
      <c r="A10">
        <v>154</v>
      </c>
      <c r="B10">
        <v>1218</v>
      </c>
      <c r="C10" t="s">
        <v>19</v>
      </c>
      <c r="D10" t="s">
        <v>11</v>
      </c>
      <c r="E10">
        <f>_xlfn.XLOOKUP(D10,Regije!B:B,Regije!A:A)</f>
        <v>8</v>
      </c>
    </row>
    <row r="11" spans="1:5">
      <c r="A11">
        <v>180</v>
      </c>
      <c r="B11">
        <v>1219</v>
      </c>
      <c r="C11" t="s">
        <v>20</v>
      </c>
      <c r="D11" t="s">
        <v>11</v>
      </c>
      <c r="E11">
        <f>_xlfn.XLOOKUP(D11,Regije!B:B,Regije!A:A)</f>
        <v>8</v>
      </c>
    </row>
    <row r="12" spans="1:5">
      <c r="A12">
        <v>240</v>
      </c>
      <c r="B12">
        <v>1221</v>
      </c>
      <c r="C12" t="s">
        <v>21</v>
      </c>
      <c r="D12" t="s">
        <v>11</v>
      </c>
      <c r="E12">
        <f>_xlfn.XLOOKUP(D12,Regije!B:B,Regije!A:A)</f>
        <v>8</v>
      </c>
    </row>
    <row r="13" spans="1:5">
      <c r="A13">
        <v>423</v>
      </c>
      <c r="B13">
        <v>1222</v>
      </c>
      <c r="C13" t="s">
        <v>22</v>
      </c>
      <c r="D13" t="s">
        <v>11</v>
      </c>
      <c r="E13">
        <f>_xlfn.XLOOKUP(D13,Regije!B:B,Regije!A:A)</f>
        <v>8</v>
      </c>
    </row>
    <row r="14" spans="1:5">
      <c r="A14">
        <v>13</v>
      </c>
      <c r="B14">
        <v>1223</v>
      </c>
      <c r="C14" t="s">
        <v>23</v>
      </c>
      <c r="D14" t="s">
        <v>11</v>
      </c>
      <c r="E14">
        <f>_xlfn.XLOOKUP(D14,Regije!B:B,Regije!A:A)</f>
        <v>8</v>
      </c>
    </row>
    <row r="15" spans="1:5">
      <c r="A15">
        <v>211</v>
      </c>
      <c r="B15">
        <v>1225</v>
      </c>
      <c r="C15" t="s">
        <v>24</v>
      </c>
      <c r="D15" t="s">
        <v>11</v>
      </c>
      <c r="E15">
        <f>_xlfn.XLOOKUP(D15,Regije!B:B,Regije!A:A)</f>
        <v>8</v>
      </c>
    </row>
    <row r="16" spans="1:5">
      <c r="A16">
        <v>77</v>
      </c>
      <c r="B16">
        <v>1230</v>
      </c>
      <c r="C16" t="s">
        <v>25</v>
      </c>
      <c r="D16" t="s">
        <v>11</v>
      </c>
      <c r="E16">
        <f>_xlfn.XLOOKUP(D16,Regije!B:B,Regije!A:A)</f>
        <v>8</v>
      </c>
    </row>
    <row r="17" spans="1:5">
      <c r="A17">
        <v>192</v>
      </c>
      <c r="B17">
        <v>1231</v>
      </c>
      <c r="C17" t="s">
        <v>26</v>
      </c>
      <c r="D17" t="s">
        <v>11</v>
      </c>
      <c r="E17">
        <f>_xlfn.XLOOKUP(D17,Regije!B:B,Regije!A:A)</f>
        <v>8</v>
      </c>
    </row>
    <row r="18" spans="1:5">
      <c r="A18">
        <v>62</v>
      </c>
      <c r="B18">
        <v>1233</v>
      </c>
      <c r="C18" t="s">
        <v>27</v>
      </c>
      <c r="D18" t="s">
        <v>11</v>
      </c>
      <c r="E18">
        <f>_xlfn.XLOOKUP(D18,Regije!B:B,Regije!A:A)</f>
        <v>8</v>
      </c>
    </row>
    <row r="19" spans="1:5">
      <c r="A19">
        <v>226</v>
      </c>
      <c r="B19">
        <v>1234</v>
      </c>
      <c r="C19" t="s">
        <v>28</v>
      </c>
      <c r="D19" t="s">
        <v>11</v>
      </c>
      <c r="E19">
        <f>_xlfn.XLOOKUP(D19,Regije!B:B,Regije!A:A)</f>
        <v>8</v>
      </c>
    </row>
    <row r="20" spans="1:5">
      <c r="A20">
        <v>316</v>
      </c>
      <c r="B20">
        <v>1235</v>
      </c>
      <c r="C20" t="s">
        <v>29</v>
      </c>
      <c r="D20" t="s">
        <v>11</v>
      </c>
      <c r="E20">
        <f>_xlfn.XLOOKUP(D20,Regije!B:B,Regije!A:A)</f>
        <v>8</v>
      </c>
    </row>
    <row r="21" spans="1:5">
      <c r="A21">
        <v>424</v>
      </c>
      <c r="B21">
        <v>1236</v>
      </c>
      <c r="C21" t="s">
        <v>30</v>
      </c>
      <c r="D21" t="s">
        <v>11</v>
      </c>
      <c r="E21">
        <f>_xlfn.XLOOKUP(D21,Regije!B:B,Regije!A:A)</f>
        <v>8</v>
      </c>
    </row>
    <row r="22" spans="1:5">
      <c r="A22">
        <v>140</v>
      </c>
      <c r="B22">
        <v>1241</v>
      </c>
      <c r="C22" t="s">
        <v>31</v>
      </c>
      <c r="D22" t="s">
        <v>11</v>
      </c>
      <c r="E22">
        <f>_xlfn.XLOOKUP(D22,Regije!B:B,Regije!A:A)</f>
        <v>8</v>
      </c>
    </row>
    <row r="23" spans="1:5">
      <c r="A23">
        <v>363</v>
      </c>
      <c r="B23">
        <v>1242</v>
      </c>
      <c r="C23" t="s">
        <v>32</v>
      </c>
      <c r="D23" t="s">
        <v>11</v>
      </c>
      <c r="E23">
        <f>_xlfn.XLOOKUP(D23,Regije!B:B,Regije!A:A)</f>
        <v>8</v>
      </c>
    </row>
    <row r="24" spans="1:5">
      <c r="A24">
        <v>237</v>
      </c>
      <c r="B24">
        <v>1251</v>
      </c>
      <c r="C24" t="s">
        <v>33</v>
      </c>
      <c r="D24" t="s">
        <v>11</v>
      </c>
      <c r="E24">
        <f>_xlfn.XLOOKUP(D24,Regije!B:B,Regije!A:A)</f>
        <v>8</v>
      </c>
    </row>
    <row r="25" spans="1:5">
      <c r="A25">
        <v>430</v>
      </c>
      <c r="B25">
        <v>1252</v>
      </c>
      <c r="C25" t="s">
        <v>34</v>
      </c>
      <c r="D25" t="s">
        <v>11</v>
      </c>
      <c r="E25">
        <f>_xlfn.XLOOKUP(D25,Regije!B:B,Regije!A:A)</f>
        <v>8</v>
      </c>
    </row>
    <row r="26" spans="1:5">
      <c r="A26">
        <v>194</v>
      </c>
      <c r="B26">
        <v>1260</v>
      </c>
      <c r="C26" t="s">
        <v>35</v>
      </c>
      <c r="D26" t="s">
        <v>11</v>
      </c>
      <c r="E26">
        <f>_xlfn.XLOOKUP(D26,Regije!B:B,Regije!A:A)</f>
        <v>8</v>
      </c>
    </row>
    <row r="27" spans="1:5">
      <c r="A27">
        <v>193</v>
      </c>
      <c r="B27">
        <v>1261</v>
      </c>
      <c r="C27" t="s">
        <v>36</v>
      </c>
      <c r="D27" t="s">
        <v>11</v>
      </c>
      <c r="E27">
        <f>_xlfn.XLOOKUP(D27,Regije!B:B,Regije!A:A)</f>
        <v>8</v>
      </c>
    </row>
    <row r="28" spans="1:5">
      <c r="A28">
        <v>73</v>
      </c>
      <c r="B28">
        <v>1262</v>
      </c>
      <c r="C28" t="s">
        <v>37</v>
      </c>
      <c r="D28" t="s">
        <v>11</v>
      </c>
      <c r="E28">
        <f>_xlfn.XLOOKUP(D28,Regije!B:B,Regije!A:A)</f>
        <v>8</v>
      </c>
    </row>
    <row r="29" spans="1:5">
      <c r="A29">
        <v>188</v>
      </c>
      <c r="B29">
        <v>1270</v>
      </c>
      <c r="C29" t="s">
        <v>38</v>
      </c>
      <c r="D29" s="1" t="s">
        <v>39</v>
      </c>
      <c r="E29">
        <f>_xlfn.XLOOKUP(D29,Regije!B:B,Regije!A:A)</f>
        <v>5</v>
      </c>
    </row>
    <row r="30" spans="1:5">
      <c r="A30">
        <v>292</v>
      </c>
      <c r="B30">
        <v>1272</v>
      </c>
      <c r="C30" t="s">
        <v>40</v>
      </c>
      <c r="D30" t="s">
        <v>11</v>
      </c>
      <c r="E30">
        <f>_xlfn.XLOOKUP(D30,Regije!B:B,Regije!A:A)</f>
        <v>8</v>
      </c>
    </row>
    <row r="31" spans="1:5">
      <c r="A31">
        <v>74</v>
      </c>
      <c r="B31">
        <v>1273</v>
      </c>
      <c r="C31" t="s">
        <v>41</v>
      </c>
      <c r="D31" t="s">
        <v>11</v>
      </c>
      <c r="E31">
        <f>_xlfn.XLOOKUP(D31,Regije!B:B,Regije!A:A)</f>
        <v>8</v>
      </c>
    </row>
    <row r="32" spans="1:5">
      <c r="A32">
        <v>91</v>
      </c>
      <c r="B32">
        <v>1274</v>
      </c>
      <c r="C32" t="s">
        <v>42</v>
      </c>
      <c r="D32" t="s">
        <v>11</v>
      </c>
      <c r="E32">
        <f>_xlfn.XLOOKUP(D32,Regije!B:B,Regije!A:A)</f>
        <v>8</v>
      </c>
    </row>
    <row r="33" spans="1:5">
      <c r="A33">
        <v>406</v>
      </c>
      <c r="B33">
        <v>1275</v>
      </c>
      <c r="C33" t="s">
        <v>43</v>
      </c>
      <c r="D33" t="s">
        <v>11</v>
      </c>
      <c r="E33">
        <f>_xlfn.XLOOKUP(D33,Regije!B:B,Regije!A:A)</f>
        <v>8</v>
      </c>
    </row>
    <row r="34" spans="1:5">
      <c r="A34">
        <v>305</v>
      </c>
      <c r="B34">
        <v>1276</v>
      </c>
      <c r="C34" t="s">
        <v>44</v>
      </c>
      <c r="D34" t="s">
        <v>11</v>
      </c>
      <c r="E34">
        <f>_xlfn.XLOOKUP(D34,Regije!B:B,Regije!A:A)</f>
        <v>8</v>
      </c>
    </row>
    <row r="35" spans="1:5">
      <c r="A35">
        <v>168</v>
      </c>
      <c r="B35">
        <v>1281</v>
      </c>
      <c r="C35" t="s">
        <v>45</v>
      </c>
      <c r="D35" t="s">
        <v>11</v>
      </c>
      <c r="E35">
        <f>_xlfn.XLOOKUP(D35,Regije!B:B,Regije!A:A)</f>
        <v>8</v>
      </c>
    </row>
    <row r="36" spans="1:5">
      <c r="A36">
        <v>335</v>
      </c>
      <c r="B36">
        <v>1282</v>
      </c>
      <c r="C36" t="s">
        <v>46</v>
      </c>
      <c r="D36" t="s">
        <v>11</v>
      </c>
      <c r="E36">
        <f>_xlfn.XLOOKUP(D36,Regije!B:B,Regije!A:A)</f>
        <v>8</v>
      </c>
    </row>
    <row r="37" spans="1:5">
      <c r="A37">
        <v>110</v>
      </c>
      <c r="B37">
        <v>1290</v>
      </c>
      <c r="C37" t="s">
        <v>47</v>
      </c>
      <c r="D37" t="s">
        <v>11</v>
      </c>
      <c r="E37">
        <f>_xlfn.XLOOKUP(D37,Regije!B:B,Regije!A:A)</f>
        <v>8</v>
      </c>
    </row>
    <row r="38" spans="1:5">
      <c r="A38">
        <v>398</v>
      </c>
      <c r="B38">
        <v>1291</v>
      </c>
      <c r="C38" t="s">
        <v>48</v>
      </c>
      <c r="D38" t="s">
        <v>11</v>
      </c>
      <c r="E38">
        <f>_xlfn.XLOOKUP(D38,Regije!B:B,Regije!A:A)</f>
        <v>8</v>
      </c>
    </row>
    <row r="39" spans="1:5">
      <c r="A39">
        <v>121</v>
      </c>
      <c r="B39">
        <v>1292</v>
      </c>
      <c r="C39" t="s">
        <v>49</v>
      </c>
      <c r="D39" t="s">
        <v>11</v>
      </c>
      <c r="E39">
        <f>_xlfn.XLOOKUP(D39,Regije!B:B,Regije!A:A)</f>
        <v>8</v>
      </c>
    </row>
    <row r="40" spans="1:5">
      <c r="A40">
        <v>400</v>
      </c>
      <c r="B40">
        <v>1293</v>
      </c>
      <c r="C40" t="s">
        <v>50</v>
      </c>
      <c r="D40" t="s">
        <v>11</v>
      </c>
      <c r="E40">
        <f>_xlfn.XLOOKUP(D40,Regije!B:B,Regije!A:A)</f>
        <v>8</v>
      </c>
    </row>
    <row r="41" spans="1:5">
      <c r="A41">
        <v>444</v>
      </c>
      <c r="B41">
        <v>1294</v>
      </c>
      <c r="C41" t="s">
        <v>51</v>
      </c>
      <c r="D41" t="s">
        <v>11</v>
      </c>
      <c r="E41">
        <f>_xlfn.XLOOKUP(D41,Regije!B:B,Regije!A:A)</f>
        <v>8</v>
      </c>
    </row>
    <row r="42" spans="1:5">
      <c r="A42">
        <v>124</v>
      </c>
      <c r="B42">
        <v>1295</v>
      </c>
      <c r="C42" t="s">
        <v>52</v>
      </c>
      <c r="D42" t="s">
        <v>11</v>
      </c>
      <c r="E42">
        <f>_xlfn.XLOOKUP(D42,Regije!B:B,Regije!A:A)</f>
        <v>8</v>
      </c>
    </row>
    <row r="43" spans="1:5">
      <c r="A43">
        <v>393</v>
      </c>
      <c r="B43">
        <v>1296</v>
      </c>
      <c r="C43" t="s">
        <v>53</v>
      </c>
      <c r="D43" t="s">
        <v>11</v>
      </c>
      <c r="E43">
        <f>_xlfn.XLOOKUP(D43,Regije!B:B,Regije!A:A)</f>
        <v>8</v>
      </c>
    </row>
    <row r="44" spans="1:5">
      <c r="A44">
        <v>172</v>
      </c>
      <c r="B44">
        <v>1301</v>
      </c>
      <c r="C44" t="s">
        <v>54</v>
      </c>
      <c r="D44" t="s">
        <v>11</v>
      </c>
      <c r="E44">
        <f>_xlfn.XLOOKUP(D44,Regije!B:B,Regije!A:A)</f>
        <v>8</v>
      </c>
    </row>
    <row r="45" spans="1:5">
      <c r="A45">
        <v>458</v>
      </c>
      <c r="B45">
        <v>1303</v>
      </c>
      <c r="C45" t="s">
        <v>55</v>
      </c>
      <c r="D45" t="s">
        <v>11</v>
      </c>
      <c r="E45">
        <f>_xlfn.XLOOKUP(D45,Regije!B:B,Regije!A:A)</f>
        <v>8</v>
      </c>
    </row>
    <row r="46" spans="1:5">
      <c r="A46">
        <v>325</v>
      </c>
      <c r="B46">
        <v>1310</v>
      </c>
      <c r="C46" t="s">
        <v>56</v>
      </c>
      <c r="D46" t="s">
        <v>57</v>
      </c>
      <c r="E46">
        <f>_xlfn.XLOOKUP(D46,Regije!B:B,Regije!A:A)</f>
        <v>7</v>
      </c>
    </row>
    <row r="47" spans="1:5">
      <c r="A47">
        <v>427</v>
      </c>
      <c r="B47">
        <v>1311</v>
      </c>
      <c r="C47" t="s">
        <v>58</v>
      </c>
      <c r="D47" t="s">
        <v>11</v>
      </c>
      <c r="E47">
        <f>_xlfn.XLOOKUP(D47,Regije!B:B,Regije!A:A)</f>
        <v>8</v>
      </c>
    </row>
    <row r="48" spans="1:5">
      <c r="A48">
        <v>439</v>
      </c>
      <c r="B48">
        <v>1312</v>
      </c>
      <c r="C48" t="s">
        <v>59</v>
      </c>
      <c r="D48" t="s">
        <v>11</v>
      </c>
      <c r="E48">
        <f>_xlfn.XLOOKUP(D48,Regije!B:B,Regije!A:A)</f>
        <v>8</v>
      </c>
    </row>
    <row r="49" spans="1:5">
      <c r="A49">
        <v>372</v>
      </c>
      <c r="B49">
        <v>1313</v>
      </c>
      <c r="C49" t="s">
        <v>60</v>
      </c>
      <c r="D49" t="s">
        <v>11</v>
      </c>
      <c r="E49">
        <f>_xlfn.XLOOKUP(D49,Regije!B:B,Regije!A:A)</f>
        <v>8</v>
      </c>
    </row>
    <row r="50" spans="1:5">
      <c r="A50">
        <v>328</v>
      </c>
      <c r="B50">
        <v>1314</v>
      </c>
      <c r="C50" t="s">
        <v>61</v>
      </c>
      <c r="D50" t="s">
        <v>11</v>
      </c>
      <c r="E50">
        <f>_xlfn.XLOOKUP(D50,Regije!B:B,Regije!A:A)</f>
        <v>8</v>
      </c>
    </row>
    <row r="51" spans="1:5">
      <c r="A51">
        <v>436</v>
      </c>
      <c r="B51">
        <v>1315</v>
      </c>
      <c r="C51" t="s">
        <v>62</v>
      </c>
      <c r="D51" t="s">
        <v>11</v>
      </c>
      <c r="E51">
        <f>_xlfn.XLOOKUP(D51,Regije!B:B,Regije!A:A)</f>
        <v>8</v>
      </c>
    </row>
    <row r="52" spans="1:5">
      <c r="A52">
        <v>259</v>
      </c>
      <c r="B52">
        <v>1316</v>
      </c>
      <c r="C52" t="s">
        <v>63</v>
      </c>
      <c r="D52" t="s">
        <v>57</v>
      </c>
      <c r="E52">
        <f>_xlfn.XLOOKUP(D52,Regije!B:B,Regije!A:A)</f>
        <v>7</v>
      </c>
    </row>
    <row r="53" spans="1:5">
      <c r="A53">
        <v>351</v>
      </c>
      <c r="B53">
        <v>1317</v>
      </c>
      <c r="C53" t="s">
        <v>64</v>
      </c>
      <c r="D53" t="s">
        <v>57</v>
      </c>
      <c r="E53">
        <f>_xlfn.XLOOKUP(D53,Regije!B:B,Regije!A:A)</f>
        <v>7</v>
      </c>
    </row>
    <row r="54" spans="1:5">
      <c r="A54">
        <v>207</v>
      </c>
      <c r="B54">
        <v>1318</v>
      </c>
      <c r="C54" t="s">
        <v>65</v>
      </c>
      <c r="D54" t="s">
        <v>57</v>
      </c>
      <c r="E54">
        <f>_xlfn.XLOOKUP(D54,Regije!B:B,Regije!A:A)</f>
        <v>7</v>
      </c>
    </row>
    <row r="55" spans="1:5">
      <c r="A55">
        <v>80</v>
      </c>
      <c r="B55">
        <v>1319</v>
      </c>
      <c r="C55" t="s">
        <v>66</v>
      </c>
      <c r="D55" t="s">
        <v>57</v>
      </c>
      <c r="E55">
        <f>_xlfn.XLOOKUP(D55,Regije!B:B,Regije!A:A)</f>
        <v>7</v>
      </c>
    </row>
    <row r="56" spans="1:5">
      <c r="A56">
        <v>149</v>
      </c>
      <c r="B56">
        <v>1330</v>
      </c>
      <c r="C56" t="s">
        <v>67</v>
      </c>
      <c r="D56" t="s">
        <v>57</v>
      </c>
      <c r="E56">
        <f>_xlfn.XLOOKUP(D56,Regije!B:B,Regije!A:A)</f>
        <v>7</v>
      </c>
    </row>
    <row r="57" spans="1:5">
      <c r="A57">
        <v>75</v>
      </c>
      <c r="B57">
        <v>1331</v>
      </c>
      <c r="C57" t="s">
        <v>68</v>
      </c>
      <c r="D57" t="s">
        <v>57</v>
      </c>
      <c r="E57">
        <f>_xlfn.XLOOKUP(D57,Regije!B:B,Regije!A:A)</f>
        <v>7</v>
      </c>
    </row>
    <row r="58" spans="1:5">
      <c r="A58">
        <v>364</v>
      </c>
      <c r="B58">
        <v>1332</v>
      </c>
      <c r="C58" t="s">
        <v>69</v>
      </c>
      <c r="D58" t="s">
        <v>57</v>
      </c>
      <c r="E58">
        <f>_xlfn.XLOOKUP(D58,Regije!B:B,Regije!A:A)</f>
        <v>7</v>
      </c>
    </row>
    <row r="59" spans="1:5">
      <c r="A59">
        <v>160</v>
      </c>
      <c r="B59">
        <v>1336</v>
      </c>
      <c r="C59" t="s">
        <v>70</v>
      </c>
      <c r="D59" t="s">
        <v>57</v>
      </c>
      <c r="E59">
        <f>_xlfn.XLOOKUP(D59,Regije!B:B,Regije!A:A)</f>
        <v>7</v>
      </c>
    </row>
    <row r="60" spans="1:5">
      <c r="A60">
        <v>260</v>
      </c>
      <c r="B60">
        <v>1337</v>
      </c>
      <c r="C60" t="s">
        <v>71</v>
      </c>
      <c r="D60" t="s">
        <v>57</v>
      </c>
      <c r="E60">
        <f>_xlfn.XLOOKUP(D60,Regije!B:B,Regije!A:A)</f>
        <v>7</v>
      </c>
    </row>
    <row r="61" spans="1:5">
      <c r="A61">
        <v>150</v>
      </c>
      <c r="B61">
        <v>1338</v>
      </c>
      <c r="C61" t="s">
        <v>72</v>
      </c>
      <c r="D61" t="s">
        <v>57</v>
      </c>
      <c r="E61">
        <f>_xlfn.XLOOKUP(D61,Regije!B:B,Regije!A:A)</f>
        <v>7</v>
      </c>
    </row>
    <row r="62" spans="1:5">
      <c r="A62">
        <v>31</v>
      </c>
      <c r="B62">
        <v>1351</v>
      </c>
      <c r="C62" t="s">
        <v>73</v>
      </c>
      <c r="D62" t="s">
        <v>11</v>
      </c>
      <c r="E62">
        <f>_xlfn.XLOOKUP(D62,Regije!B:B,Regije!A:A)</f>
        <v>8</v>
      </c>
    </row>
    <row r="63" spans="1:5">
      <c r="A63">
        <v>301</v>
      </c>
      <c r="B63">
        <v>1352</v>
      </c>
      <c r="C63" t="s">
        <v>74</v>
      </c>
      <c r="D63" t="s">
        <v>11</v>
      </c>
      <c r="E63">
        <f>_xlfn.XLOOKUP(D63,Regije!B:B,Regije!A:A)</f>
        <v>8</v>
      </c>
    </row>
    <row r="64" spans="1:5">
      <c r="A64">
        <v>22</v>
      </c>
      <c r="B64">
        <v>1353</v>
      </c>
      <c r="C64" t="s">
        <v>75</v>
      </c>
      <c r="D64" t="s">
        <v>11</v>
      </c>
      <c r="E64">
        <f>_xlfn.XLOOKUP(D64,Regije!B:B,Regije!A:A)</f>
        <v>8</v>
      </c>
    </row>
    <row r="65" spans="1:5">
      <c r="A65">
        <v>115</v>
      </c>
      <c r="B65">
        <v>1354</v>
      </c>
      <c r="C65" t="s">
        <v>76</v>
      </c>
      <c r="D65" t="s">
        <v>11</v>
      </c>
      <c r="E65">
        <f>_xlfn.XLOOKUP(D65,Regije!B:B,Regije!A:A)</f>
        <v>8</v>
      </c>
    </row>
    <row r="66" spans="1:5">
      <c r="A66">
        <v>289</v>
      </c>
      <c r="B66">
        <v>1355</v>
      </c>
      <c r="C66" t="s">
        <v>77</v>
      </c>
      <c r="D66" t="s">
        <v>11</v>
      </c>
      <c r="E66">
        <f>_xlfn.XLOOKUP(D66,Regije!B:B,Regije!A:A)</f>
        <v>8</v>
      </c>
    </row>
    <row r="67" spans="1:5">
      <c r="A67">
        <v>69</v>
      </c>
      <c r="B67">
        <v>1356</v>
      </c>
      <c r="C67" t="s">
        <v>78</v>
      </c>
      <c r="D67" t="s">
        <v>11</v>
      </c>
      <c r="E67">
        <f>_xlfn.XLOOKUP(D67,Regije!B:B,Regije!A:A)</f>
        <v>8</v>
      </c>
    </row>
    <row r="68" spans="1:5">
      <c r="A68">
        <v>247</v>
      </c>
      <c r="B68">
        <v>1357</v>
      </c>
      <c r="C68" t="s">
        <v>79</v>
      </c>
      <c r="D68" t="s">
        <v>11</v>
      </c>
      <c r="E68">
        <f>_xlfn.XLOOKUP(D68,Regije!B:B,Regije!A:A)</f>
        <v>8</v>
      </c>
    </row>
    <row r="69" spans="1:5">
      <c r="A69">
        <v>202</v>
      </c>
      <c r="B69">
        <v>1358</v>
      </c>
      <c r="C69" t="s">
        <v>80</v>
      </c>
      <c r="D69" t="s">
        <v>11</v>
      </c>
      <c r="E69">
        <f>_xlfn.XLOOKUP(D69,Regije!B:B,Regije!A:A)</f>
        <v>8</v>
      </c>
    </row>
    <row r="70" spans="1:5">
      <c r="A70">
        <v>453</v>
      </c>
      <c r="B70">
        <v>1360</v>
      </c>
      <c r="C70" t="s">
        <v>81</v>
      </c>
      <c r="D70" t="s">
        <v>11</v>
      </c>
      <c r="E70">
        <f>_xlfn.XLOOKUP(D70,Regije!B:B,Regije!A:A)</f>
        <v>8</v>
      </c>
    </row>
    <row r="71" spans="1:5">
      <c r="A71">
        <v>203</v>
      </c>
      <c r="B71">
        <v>1370</v>
      </c>
      <c r="C71" t="s">
        <v>82</v>
      </c>
      <c r="D71" t="s">
        <v>11</v>
      </c>
      <c r="E71">
        <f>_xlfn.XLOOKUP(D71,Regije!B:B,Regije!A:A)</f>
        <v>8</v>
      </c>
    </row>
    <row r="72" spans="1:5">
      <c r="A72">
        <v>116</v>
      </c>
      <c r="B72">
        <v>1372</v>
      </c>
      <c r="C72" t="s">
        <v>83</v>
      </c>
      <c r="D72" t="s">
        <v>11</v>
      </c>
      <c r="E72">
        <f>_xlfn.XLOOKUP(D72,Regije!B:B,Regije!A:A)</f>
        <v>8</v>
      </c>
    </row>
    <row r="73" spans="1:5">
      <c r="A73">
        <v>333</v>
      </c>
      <c r="B73">
        <v>1373</v>
      </c>
      <c r="C73" t="s">
        <v>84</v>
      </c>
      <c r="D73" t="s">
        <v>11</v>
      </c>
      <c r="E73">
        <f>_xlfn.XLOOKUP(D73,Regije!B:B,Regije!A:A)</f>
        <v>8</v>
      </c>
    </row>
    <row r="74" spans="1:5">
      <c r="A74">
        <v>42</v>
      </c>
      <c r="B74">
        <v>1380</v>
      </c>
      <c r="C74" t="s">
        <v>85</v>
      </c>
      <c r="D74" t="s">
        <v>86</v>
      </c>
      <c r="E74">
        <f>_xlfn.XLOOKUP(D74,Regije!B:B,Regije!A:A)</f>
        <v>10</v>
      </c>
    </row>
    <row r="75" spans="1:5">
      <c r="A75">
        <v>319</v>
      </c>
      <c r="B75">
        <v>1381</v>
      </c>
      <c r="C75" t="s">
        <v>87</v>
      </c>
      <c r="D75" t="s">
        <v>86</v>
      </c>
      <c r="E75">
        <f>_xlfn.XLOOKUP(D75,Regije!B:B,Regije!A:A)</f>
        <v>10</v>
      </c>
    </row>
    <row r="76" spans="1:5">
      <c r="A76">
        <v>7</v>
      </c>
      <c r="B76">
        <v>1382</v>
      </c>
      <c r="C76" t="s">
        <v>88</v>
      </c>
      <c r="D76" t="s">
        <v>86</v>
      </c>
      <c r="E76">
        <f>_xlfn.XLOOKUP(D76,Regije!B:B,Regije!A:A)</f>
        <v>10</v>
      </c>
    </row>
    <row r="77" spans="1:5">
      <c r="A77">
        <v>105</v>
      </c>
      <c r="B77">
        <v>1384</v>
      </c>
      <c r="C77" t="s">
        <v>89</v>
      </c>
      <c r="D77" t="s">
        <v>86</v>
      </c>
      <c r="E77">
        <f>_xlfn.XLOOKUP(D77,Regije!B:B,Regije!A:A)</f>
        <v>10</v>
      </c>
    </row>
    <row r="78" spans="1:5">
      <c r="A78">
        <v>251</v>
      </c>
      <c r="B78">
        <v>1385</v>
      </c>
      <c r="C78" t="s">
        <v>90</v>
      </c>
      <c r="D78" t="s">
        <v>86</v>
      </c>
      <c r="E78">
        <f>_xlfn.XLOOKUP(D78,Regije!B:B,Regije!A:A)</f>
        <v>10</v>
      </c>
    </row>
    <row r="79" spans="1:5">
      <c r="A79">
        <v>366</v>
      </c>
      <c r="B79">
        <v>1386</v>
      </c>
      <c r="C79" t="s">
        <v>91</v>
      </c>
      <c r="D79" t="s">
        <v>86</v>
      </c>
      <c r="E79">
        <f>_xlfn.XLOOKUP(D79,Regije!B:B,Regije!A:A)</f>
        <v>10</v>
      </c>
    </row>
    <row r="80" spans="1:5">
      <c r="A80">
        <v>457</v>
      </c>
      <c r="B80">
        <v>1410</v>
      </c>
      <c r="C80" t="s">
        <v>92</v>
      </c>
      <c r="D80" t="s">
        <v>39</v>
      </c>
      <c r="E80">
        <f>_xlfn.XLOOKUP(D80,Regije!B:B,Regije!A:A)</f>
        <v>5</v>
      </c>
    </row>
    <row r="81" spans="1:5">
      <c r="A81">
        <v>126</v>
      </c>
      <c r="B81">
        <v>1411</v>
      </c>
      <c r="C81" t="s">
        <v>93</v>
      </c>
      <c r="D81" t="s">
        <v>39</v>
      </c>
      <c r="E81">
        <f>_xlfn.XLOOKUP(D81,Regije!B:B,Regije!A:A)</f>
        <v>5</v>
      </c>
    </row>
    <row r="82" spans="1:5">
      <c r="A82">
        <v>145</v>
      </c>
      <c r="B82">
        <v>1412</v>
      </c>
      <c r="C82" t="s">
        <v>94</v>
      </c>
      <c r="D82" t="s">
        <v>39</v>
      </c>
      <c r="E82">
        <f>_xlfn.XLOOKUP(D82,Regije!B:B,Regije!A:A)</f>
        <v>5</v>
      </c>
    </row>
    <row r="83" spans="1:5">
      <c r="A83">
        <v>50</v>
      </c>
      <c r="B83">
        <v>1413</v>
      </c>
      <c r="C83" t="s">
        <v>95</v>
      </c>
      <c r="D83" t="s">
        <v>39</v>
      </c>
      <c r="E83">
        <f>_xlfn.XLOOKUP(D83,Regije!B:B,Regije!A:A)</f>
        <v>5</v>
      </c>
    </row>
    <row r="84" spans="1:5">
      <c r="A84">
        <v>280</v>
      </c>
      <c r="B84">
        <v>1414</v>
      </c>
      <c r="C84" t="s">
        <v>96</v>
      </c>
      <c r="D84" t="s">
        <v>39</v>
      </c>
      <c r="E84">
        <f>_xlfn.XLOOKUP(D84,Regije!B:B,Regije!A:A)</f>
        <v>5</v>
      </c>
    </row>
    <row r="85" spans="1:5">
      <c r="A85">
        <v>418</v>
      </c>
      <c r="B85">
        <v>1420</v>
      </c>
      <c r="C85" t="s">
        <v>97</v>
      </c>
      <c r="D85" t="s">
        <v>39</v>
      </c>
      <c r="E85">
        <f>_xlfn.XLOOKUP(D85,Regije!B:B,Regije!A:A)</f>
        <v>5</v>
      </c>
    </row>
    <row r="86" spans="1:5">
      <c r="A86">
        <v>65</v>
      </c>
      <c r="B86">
        <v>1423</v>
      </c>
      <c r="C86" t="s">
        <v>98</v>
      </c>
      <c r="D86" t="s">
        <v>39</v>
      </c>
      <c r="E86">
        <f>_xlfn.XLOOKUP(D86,Regije!B:B,Regije!A:A)</f>
        <v>5</v>
      </c>
    </row>
    <row r="87" spans="1:5">
      <c r="A87">
        <v>117</v>
      </c>
      <c r="B87">
        <v>1430</v>
      </c>
      <c r="C87" t="s">
        <v>99</v>
      </c>
      <c r="D87" t="s">
        <v>39</v>
      </c>
      <c r="E87">
        <f>_xlfn.XLOOKUP(D87,Regije!B:B,Regije!A:A)</f>
        <v>5</v>
      </c>
    </row>
    <row r="88" spans="1:5">
      <c r="A88">
        <v>72</v>
      </c>
      <c r="B88">
        <v>1431</v>
      </c>
      <c r="C88" t="s">
        <v>100</v>
      </c>
      <c r="D88" t="s">
        <v>39</v>
      </c>
      <c r="E88">
        <f>_xlfn.XLOOKUP(D88,Regije!B:B,Regije!A:A)</f>
        <v>5</v>
      </c>
    </row>
    <row r="89" spans="1:5">
      <c r="A89">
        <v>470</v>
      </c>
      <c r="B89">
        <v>1432</v>
      </c>
      <c r="C89" t="s">
        <v>101</v>
      </c>
      <c r="D89" t="s">
        <v>102</v>
      </c>
      <c r="E89">
        <f>_xlfn.XLOOKUP(D89,Regije!B:B,Regije!A:A)</f>
        <v>6</v>
      </c>
    </row>
    <row r="90" spans="1:5">
      <c r="A90">
        <v>313</v>
      </c>
      <c r="B90">
        <v>1433</v>
      </c>
      <c r="C90" t="s">
        <v>103</v>
      </c>
      <c r="D90" t="s">
        <v>102</v>
      </c>
      <c r="E90">
        <f>_xlfn.XLOOKUP(D90,Regije!B:B,Regije!A:A)</f>
        <v>6</v>
      </c>
    </row>
    <row r="91" spans="1:5">
      <c r="A91">
        <v>204</v>
      </c>
      <c r="B91">
        <v>1434</v>
      </c>
      <c r="C91" t="s">
        <v>104</v>
      </c>
      <c r="D91" t="s">
        <v>102</v>
      </c>
      <c r="E91">
        <f>_xlfn.XLOOKUP(D91,Regije!B:B,Regije!A:A)</f>
        <v>6</v>
      </c>
    </row>
    <row r="92" spans="1:5">
      <c r="A92">
        <v>218</v>
      </c>
      <c r="B92">
        <v>2000</v>
      </c>
      <c r="C92" t="s">
        <v>105</v>
      </c>
      <c r="D92" t="s">
        <v>106</v>
      </c>
      <c r="E92">
        <f>_xlfn.XLOOKUP(D92,Regije!B:B,Regije!A:A)</f>
        <v>2</v>
      </c>
    </row>
    <row r="93" spans="1:5">
      <c r="A93">
        <v>219</v>
      </c>
      <c r="B93">
        <v>2001</v>
      </c>
      <c r="C93" t="s">
        <v>107</v>
      </c>
      <c r="D93" t="s">
        <v>106</v>
      </c>
      <c r="E93">
        <f>_xlfn.XLOOKUP(D93,Regije!B:B,Regije!A:A)</f>
        <v>2</v>
      </c>
    </row>
    <row r="94" spans="1:5">
      <c r="A94">
        <v>463</v>
      </c>
      <c r="B94">
        <v>2201</v>
      </c>
      <c r="C94" t="s">
        <v>108</v>
      </c>
      <c r="D94" t="s">
        <v>106</v>
      </c>
      <c r="E94">
        <f>_xlfn.XLOOKUP(D94,Regije!B:B,Regije!A:A)</f>
        <v>2</v>
      </c>
    </row>
    <row r="95" spans="1:5">
      <c r="A95">
        <v>229</v>
      </c>
      <c r="B95">
        <v>2204</v>
      </c>
      <c r="C95" t="s">
        <v>109</v>
      </c>
      <c r="D95" t="s">
        <v>106</v>
      </c>
      <c r="E95">
        <f>_xlfn.XLOOKUP(D95,Regije!B:B,Regije!A:A)</f>
        <v>2</v>
      </c>
    </row>
    <row r="96" spans="1:5">
      <c r="A96">
        <v>367</v>
      </c>
      <c r="B96">
        <v>2205</v>
      </c>
      <c r="C96" t="s">
        <v>110</v>
      </c>
      <c r="D96" t="s">
        <v>106</v>
      </c>
      <c r="E96">
        <f>_xlfn.XLOOKUP(D96,Regije!B:B,Regije!A:A)</f>
        <v>2</v>
      </c>
    </row>
    <row r="97" spans="1:5">
      <c r="A97">
        <v>220</v>
      </c>
      <c r="B97">
        <v>2206</v>
      </c>
      <c r="C97" t="s">
        <v>111</v>
      </c>
      <c r="D97" t="s">
        <v>106</v>
      </c>
      <c r="E97">
        <f>_xlfn.XLOOKUP(D97,Regije!B:B,Regije!A:A)</f>
        <v>2</v>
      </c>
    </row>
    <row r="98" spans="1:5">
      <c r="A98">
        <v>287</v>
      </c>
      <c r="B98">
        <v>2208</v>
      </c>
      <c r="C98" t="s">
        <v>112</v>
      </c>
      <c r="D98" t="s">
        <v>106</v>
      </c>
      <c r="E98">
        <f>_xlfn.XLOOKUP(D98,Regije!B:B,Regije!A:A)</f>
        <v>2</v>
      </c>
    </row>
    <row r="99" spans="1:5">
      <c r="A99">
        <v>264</v>
      </c>
      <c r="B99">
        <v>2211</v>
      </c>
      <c r="C99" t="s">
        <v>113</v>
      </c>
      <c r="D99" t="s">
        <v>106</v>
      </c>
      <c r="E99">
        <f>_xlfn.XLOOKUP(D99,Regije!B:B,Regije!A:A)</f>
        <v>2</v>
      </c>
    </row>
    <row r="100" spans="1:5">
      <c r="A100">
        <v>386</v>
      </c>
      <c r="B100">
        <v>2212</v>
      </c>
      <c r="C100" t="s">
        <v>114</v>
      </c>
      <c r="D100" t="s">
        <v>106</v>
      </c>
      <c r="E100">
        <f>_xlfn.XLOOKUP(D100,Regije!B:B,Regije!A:A)</f>
        <v>2</v>
      </c>
    </row>
    <row r="101" spans="1:5">
      <c r="A101">
        <v>466</v>
      </c>
      <c r="B101">
        <v>2213</v>
      </c>
      <c r="C101" t="s">
        <v>115</v>
      </c>
      <c r="D101" t="s">
        <v>106</v>
      </c>
      <c r="E101">
        <f>_xlfn.XLOOKUP(D101,Regije!B:B,Regije!A:A)</f>
        <v>2</v>
      </c>
    </row>
    <row r="102" spans="1:5">
      <c r="A102">
        <v>344</v>
      </c>
      <c r="B102">
        <v>2214</v>
      </c>
      <c r="C102" t="s">
        <v>116</v>
      </c>
      <c r="D102" t="s">
        <v>106</v>
      </c>
      <c r="E102">
        <f>_xlfn.XLOOKUP(D102,Regije!B:B,Regije!A:A)</f>
        <v>2</v>
      </c>
    </row>
    <row r="103" spans="1:5">
      <c r="A103">
        <v>45</v>
      </c>
      <c r="B103">
        <v>2215</v>
      </c>
      <c r="C103" t="s">
        <v>117</v>
      </c>
      <c r="D103" t="s">
        <v>106</v>
      </c>
      <c r="E103">
        <f>_xlfn.XLOOKUP(D103,Regije!B:B,Regije!A:A)</f>
        <v>2</v>
      </c>
    </row>
    <row r="104" spans="1:5">
      <c r="A104">
        <v>129</v>
      </c>
      <c r="B104">
        <v>2221</v>
      </c>
      <c r="C104" t="s">
        <v>118</v>
      </c>
      <c r="D104" t="s">
        <v>106</v>
      </c>
      <c r="E104">
        <f>_xlfn.XLOOKUP(D104,Regije!B:B,Regije!A:A)</f>
        <v>2</v>
      </c>
    </row>
    <row r="105" spans="1:5">
      <c r="A105">
        <v>128</v>
      </c>
      <c r="B105">
        <v>2222</v>
      </c>
      <c r="C105" t="s">
        <v>119</v>
      </c>
      <c r="D105" t="s">
        <v>106</v>
      </c>
      <c r="E105">
        <f>_xlfn.XLOOKUP(D105,Regije!B:B,Regije!A:A)</f>
        <v>2</v>
      </c>
    </row>
    <row r="106" spans="1:5">
      <c r="A106">
        <v>134</v>
      </c>
      <c r="B106">
        <v>2223</v>
      </c>
      <c r="C106" t="s">
        <v>120</v>
      </c>
      <c r="D106" t="s">
        <v>106</v>
      </c>
      <c r="E106">
        <f>_xlfn.XLOOKUP(D106,Regije!B:B,Regije!A:A)</f>
        <v>2</v>
      </c>
    </row>
    <row r="107" spans="1:5">
      <c r="A107">
        <v>216</v>
      </c>
      <c r="B107">
        <v>2229</v>
      </c>
      <c r="C107" t="s">
        <v>121</v>
      </c>
      <c r="D107" t="s">
        <v>106</v>
      </c>
      <c r="E107">
        <f>_xlfn.XLOOKUP(D107,Regije!B:B,Regije!A:A)</f>
        <v>2</v>
      </c>
    </row>
    <row r="108" spans="1:5">
      <c r="A108">
        <v>181</v>
      </c>
      <c r="B108">
        <v>2230</v>
      </c>
      <c r="C108" t="s">
        <v>122</v>
      </c>
      <c r="D108" t="s">
        <v>106</v>
      </c>
      <c r="E108">
        <f>_xlfn.XLOOKUP(D108,Regije!B:B,Regije!A:A)</f>
        <v>2</v>
      </c>
    </row>
    <row r="109" spans="1:5">
      <c r="A109">
        <v>263</v>
      </c>
      <c r="B109">
        <v>2231</v>
      </c>
      <c r="C109" t="s">
        <v>123</v>
      </c>
      <c r="D109" t="s">
        <v>106</v>
      </c>
      <c r="E109">
        <f>_xlfn.XLOOKUP(D109,Regije!B:B,Regije!A:A)</f>
        <v>2</v>
      </c>
    </row>
    <row r="110" spans="1:5">
      <c r="A110">
        <v>450</v>
      </c>
      <c r="B110">
        <v>2232</v>
      </c>
      <c r="C110" t="s">
        <v>124</v>
      </c>
      <c r="D110" t="s">
        <v>106</v>
      </c>
      <c r="E110">
        <f>_xlfn.XLOOKUP(D110,Regije!B:B,Regije!A:A)</f>
        <v>2</v>
      </c>
    </row>
    <row r="111" spans="1:5">
      <c r="A111">
        <v>376</v>
      </c>
      <c r="B111">
        <v>2233</v>
      </c>
      <c r="C111" t="s">
        <v>125</v>
      </c>
      <c r="D111" t="s">
        <v>106</v>
      </c>
      <c r="E111">
        <f>_xlfn.XLOOKUP(D111,Regije!B:B,Regije!A:A)</f>
        <v>2</v>
      </c>
    </row>
    <row r="112" spans="1:5">
      <c r="A112">
        <v>9</v>
      </c>
      <c r="B112">
        <v>2234</v>
      </c>
      <c r="C112" t="s">
        <v>126</v>
      </c>
      <c r="D112" t="s">
        <v>106</v>
      </c>
      <c r="E112">
        <f>_xlfn.XLOOKUP(D112,Regije!B:B,Regije!A:A)</f>
        <v>2</v>
      </c>
    </row>
    <row r="113" spans="1:5">
      <c r="A113">
        <v>377</v>
      </c>
      <c r="B113">
        <v>2235</v>
      </c>
      <c r="C113" t="s">
        <v>127</v>
      </c>
      <c r="D113" t="s">
        <v>106</v>
      </c>
      <c r="E113">
        <f>_xlfn.XLOOKUP(D113,Regije!B:B,Regije!A:A)</f>
        <v>2</v>
      </c>
    </row>
    <row r="114" spans="1:5">
      <c r="A114">
        <v>44</v>
      </c>
      <c r="B114">
        <v>2236</v>
      </c>
      <c r="C114" t="s">
        <v>128</v>
      </c>
      <c r="D114" t="s">
        <v>106</v>
      </c>
      <c r="E114">
        <f>_xlfn.XLOOKUP(D114,Regije!B:B,Regije!A:A)</f>
        <v>2</v>
      </c>
    </row>
    <row r="115" spans="1:5">
      <c r="A115">
        <v>357</v>
      </c>
      <c r="B115">
        <v>2241</v>
      </c>
      <c r="C115" t="s">
        <v>129</v>
      </c>
      <c r="D115" t="s">
        <v>106</v>
      </c>
      <c r="E115">
        <f>_xlfn.XLOOKUP(D115,Regije!B:B,Regije!A:A)</f>
        <v>2</v>
      </c>
    </row>
    <row r="116" spans="1:5">
      <c r="A116">
        <v>462</v>
      </c>
      <c r="B116">
        <v>2242</v>
      </c>
      <c r="C116" t="s">
        <v>130</v>
      </c>
      <c r="D116" t="s">
        <v>106</v>
      </c>
      <c r="E116">
        <f>_xlfn.XLOOKUP(D116,Regije!B:B,Regije!A:A)</f>
        <v>2</v>
      </c>
    </row>
    <row r="117" spans="1:5">
      <c r="A117">
        <v>309</v>
      </c>
      <c r="B117">
        <v>2250</v>
      </c>
      <c r="C117" t="s">
        <v>131</v>
      </c>
      <c r="D117" t="s">
        <v>106</v>
      </c>
      <c r="E117">
        <f>_xlfn.XLOOKUP(D117,Regije!B:B,Regije!A:A)</f>
        <v>2</v>
      </c>
    </row>
    <row r="118" spans="1:5">
      <c r="A118">
        <v>78</v>
      </c>
      <c r="B118">
        <v>2252</v>
      </c>
      <c r="C118" t="s">
        <v>132</v>
      </c>
      <c r="D118" t="s">
        <v>106</v>
      </c>
      <c r="E118">
        <f>_xlfn.XLOOKUP(D118,Regije!B:B,Regije!A:A)</f>
        <v>2</v>
      </c>
    </row>
    <row r="119" spans="1:5">
      <c r="A119">
        <v>60</v>
      </c>
      <c r="B119">
        <v>2253</v>
      </c>
      <c r="C119" t="s">
        <v>133</v>
      </c>
      <c r="D119" t="s">
        <v>106</v>
      </c>
      <c r="E119">
        <f>_xlfn.XLOOKUP(D119,Regije!B:B,Regije!A:A)</f>
        <v>2</v>
      </c>
    </row>
    <row r="120" spans="1:5">
      <c r="A120">
        <v>422</v>
      </c>
      <c r="B120">
        <v>2254</v>
      </c>
      <c r="C120" t="s">
        <v>134</v>
      </c>
      <c r="D120" t="s">
        <v>106</v>
      </c>
      <c r="E120">
        <f>_xlfn.XLOOKUP(D120,Regije!B:B,Regije!A:A)</f>
        <v>2</v>
      </c>
    </row>
    <row r="121" spans="1:5">
      <c r="A121">
        <v>446</v>
      </c>
      <c r="B121">
        <v>2255</v>
      </c>
      <c r="C121" t="s">
        <v>135</v>
      </c>
      <c r="D121" t="s">
        <v>106</v>
      </c>
      <c r="E121">
        <f>_xlfn.XLOOKUP(D121,Regije!B:B,Regije!A:A)</f>
        <v>2</v>
      </c>
    </row>
    <row r="122" spans="1:5">
      <c r="A122">
        <v>135</v>
      </c>
      <c r="B122">
        <v>2256</v>
      </c>
      <c r="C122" t="s">
        <v>136</v>
      </c>
      <c r="D122" t="s">
        <v>106</v>
      </c>
      <c r="E122">
        <f>_xlfn.XLOOKUP(D122,Regije!B:B,Regije!A:A)</f>
        <v>2</v>
      </c>
    </row>
    <row r="123" spans="1:5">
      <c r="A123">
        <v>288</v>
      </c>
      <c r="B123">
        <v>2257</v>
      </c>
      <c r="C123" t="s">
        <v>137</v>
      </c>
      <c r="D123" t="s">
        <v>106</v>
      </c>
      <c r="E123">
        <f>_xlfn.XLOOKUP(D123,Regije!B:B,Regije!A:A)</f>
        <v>2</v>
      </c>
    </row>
    <row r="124" spans="1:5">
      <c r="A124">
        <v>380</v>
      </c>
      <c r="B124">
        <v>2258</v>
      </c>
      <c r="C124" t="s">
        <v>138</v>
      </c>
      <c r="D124" t="s">
        <v>106</v>
      </c>
      <c r="E124">
        <f>_xlfn.XLOOKUP(D124,Regije!B:B,Regije!A:A)</f>
        <v>2</v>
      </c>
    </row>
    <row r="125" spans="1:5">
      <c r="A125">
        <v>125</v>
      </c>
      <c r="B125">
        <v>2259</v>
      </c>
      <c r="C125" t="s">
        <v>139</v>
      </c>
      <c r="D125" t="s">
        <v>106</v>
      </c>
      <c r="E125">
        <f>_xlfn.XLOOKUP(D125,Regije!B:B,Regije!A:A)</f>
        <v>2</v>
      </c>
    </row>
    <row r="126" spans="1:5">
      <c r="A126">
        <v>258</v>
      </c>
      <c r="B126">
        <v>2270</v>
      </c>
      <c r="C126" t="s">
        <v>140</v>
      </c>
      <c r="D126" t="s">
        <v>106</v>
      </c>
      <c r="E126">
        <f>_xlfn.XLOOKUP(D126,Regije!B:B,Regije!A:A)</f>
        <v>2</v>
      </c>
    </row>
    <row r="127" spans="1:5">
      <c r="A127">
        <v>98</v>
      </c>
      <c r="B127">
        <v>2272</v>
      </c>
      <c r="C127" t="s">
        <v>141</v>
      </c>
      <c r="D127" t="s">
        <v>106</v>
      </c>
      <c r="E127">
        <f>_xlfn.XLOOKUP(D127,Regije!B:B,Regije!A:A)</f>
        <v>2</v>
      </c>
    </row>
    <row r="128" spans="1:5">
      <c r="A128">
        <v>276</v>
      </c>
      <c r="B128">
        <v>2273</v>
      </c>
      <c r="C128" t="s">
        <v>142</v>
      </c>
      <c r="D128" t="s">
        <v>106</v>
      </c>
      <c r="E128">
        <f>_xlfn.XLOOKUP(D128,Regije!B:B,Regije!A:A)</f>
        <v>2</v>
      </c>
    </row>
    <row r="129" spans="1:5">
      <c r="A129">
        <v>434</v>
      </c>
      <c r="B129">
        <v>2274</v>
      </c>
      <c r="C129" t="s">
        <v>143</v>
      </c>
      <c r="D129" t="s">
        <v>106</v>
      </c>
      <c r="E129">
        <f>_xlfn.XLOOKUP(D129,Regije!B:B,Regije!A:A)</f>
        <v>2</v>
      </c>
    </row>
    <row r="130" spans="1:5">
      <c r="A130">
        <v>230</v>
      </c>
      <c r="B130">
        <v>2275</v>
      </c>
      <c r="C130" t="s">
        <v>144</v>
      </c>
      <c r="D130" t="s">
        <v>106</v>
      </c>
      <c r="E130">
        <f>_xlfn.XLOOKUP(D130,Regije!B:B,Regije!A:A)</f>
        <v>2</v>
      </c>
    </row>
    <row r="131" spans="1:5">
      <c r="A131">
        <v>151</v>
      </c>
      <c r="B131">
        <v>2276</v>
      </c>
      <c r="C131" t="s">
        <v>145</v>
      </c>
      <c r="D131" t="s">
        <v>106</v>
      </c>
      <c r="E131">
        <f>_xlfn.XLOOKUP(D131,Regije!B:B,Regije!A:A)</f>
        <v>2</v>
      </c>
    </row>
    <row r="132" spans="1:5">
      <c r="A132">
        <v>359</v>
      </c>
      <c r="B132">
        <v>2277</v>
      </c>
      <c r="C132" t="s">
        <v>146</v>
      </c>
      <c r="D132" t="s">
        <v>106</v>
      </c>
      <c r="E132">
        <f>_xlfn.XLOOKUP(D132,Regije!B:B,Regije!A:A)</f>
        <v>2</v>
      </c>
    </row>
    <row r="133" spans="1:5">
      <c r="A133">
        <v>221</v>
      </c>
      <c r="B133">
        <v>2281</v>
      </c>
      <c r="C133" t="s">
        <v>147</v>
      </c>
      <c r="D133" t="s">
        <v>106</v>
      </c>
      <c r="E133">
        <f>_xlfn.XLOOKUP(D133,Regije!B:B,Regije!A:A)</f>
        <v>2</v>
      </c>
    </row>
    <row r="134" spans="1:5">
      <c r="A134">
        <v>47</v>
      </c>
      <c r="B134">
        <v>2282</v>
      </c>
      <c r="C134" t="s">
        <v>148</v>
      </c>
      <c r="D134" t="s">
        <v>106</v>
      </c>
      <c r="E134">
        <f>_xlfn.XLOOKUP(D134,Regije!B:B,Regije!A:A)</f>
        <v>2</v>
      </c>
    </row>
    <row r="135" spans="1:5">
      <c r="A135">
        <v>459</v>
      </c>
      <c r="B135">
        <v>2283</v>
      </c>
      <c r="C135" t="s">
        <v>149</v>
      </c>
      <c r="D135" t="s">
        <v>106</v>
      </c>
      <c r="E135">
        <f>_xlfn.XLOOKUP(D135,Regije!B:B,Regije!A:A)</f>
        <v>2</v>
      </c>
    </row>
    <row r="136" spans="1:5">
      <c r="A136">
        <v>440</v>
      </c>
      <c r="B136">
        <v>2284</v>
      </c>
      <c r="C136" t="s">
        <v>150</v>
      </c>
      <c r="D136" t="s">
        <v>106</v>
      </c>
      <c r="E136">
        <f>_xlfn.XLOOKUP(D136,Regije!B:B,Regije!A:A)</f>
        <v>2</v>
      </c>
    </row>
    <row r="137" spans="1:5">
      <c r="A137">
        <v>469</v>
      </c>
      <c r="B137">
        <v>2285</v>
      </c>
      <c r="C137" t="s">
        <v>151</v>
      </c>
      <c r="D137" t="s">
        <v>106</v>
      </c>
      <c r="E137">
        <f>_xlfn.XLOOKUP(D137,Regije!B:B,Regije!A:A)</f>
        <v>2</v>
      </c>
    </row>
    <row r="138" spans="1:5">
      <c r="A138">
        <v>281</v>
      </c>
      <c r="B138">
        <v>2286</v>
      </c>
      <c r="C138" t="s">
        <v>152</v>
      </c>
      <c r="D138" t="s">
        <v>106</v>
      </c>
      <c r="E138">
        <f>_xlfn.XLOOKUP(D138,Regije!B:B,Regije!A:A)</f>
        <v>2</v>
      </c>
    </row>
    <row r="139" spans="1:5">
      <c r="A139">
        <v>475</v>
      </c>
      <c r="B139">
        <v>2287</v>
      </c>
      <c r="C139" t="s">
        <v>153</v>
      </c>
      <c r="D139" t="s">
        <v>106</v>
      </c>
      <c r="E139">
        <f>_xlfn.XLOOKUP(D139,Regije!B:B,Regije!A:A)</f>
        <v>2</v>
      </c>
    </row>
    <row r="140" spans="1:5">
      <c r="A140">
        <v>111</v>
      </c>
      <c r="B140">
        <v>2288</v>
      </c>
      <c r="C140" t="s">
        <v>154</v>
      </c>
      <c r="D140" t="s">
        <v>106</v>
      </c>
      <c r="E140">
        <f>_xlfn.XLOOKUP(D140,Regije!B:B,Regije!A:A)</f>
        <v>2</v>
      </c>
    </row>
    <row r="141" spans="1:5">
      <c r="A141">
        <v>368</v>
      </c>
      <c r="B141">
        <v>2289</v>
      </c>
      <c r="C141" t="s">
        <v>155</v>
      </c>
      <c r="D141" t="s">
        <v>106</v>
      </c>
      <c r="E141">
        <f>_xlfn.XLOOKUP(D141,Regije!B:B,Regije!A:A)</f>
        <v>2</v>
      </c>
    </row>
    <row r="142" spans="1:5">
      <c r="A142">
        <v>347</v>
      </c>
      <c r="B142">
        <v>2310</v>
      </c>
      <c r="C142" t="s">
        <v>156</v>
      </c>
      <c r="D142" t="s">
        <v>106</v>
      </c>
      <c r="E142">
        <f>_xlfn.XLOOKUP(D142,Regije!B:B,Regije!A:A)</f>
        <v>2</v>
      </c>
    </row>
    <row r="143" spans="1:5">
      <c r="A143">
        <v>113</v>
      </c>
      <c r="B143">
        <v>2311</v>
      </c>
      <c r="C143" t="s">
        <v>157</v>
      </c>
      <c r="D143" t="s">
        <v>106</v>
      </c>
      <c r="E143">
        <f>_xlfn.XLOOKUP(D143,Regije!B:B,Regije!A:A)</f>
        <v>2</v>
      </c>
    </row>
    <row r="144" spans="1:5">
      <c r="A144">
        <v>257</v>
      </c>
      <c r="B144">
        <v>2312</v>
      </c>
      <c r="C144" t="s">
        <v>158</v>
      </c>
      <c r="D144" t="s">
        <v>106</v>
      </c>
      <c r="E144">
        <f>_xlfn.XLOOKUP(D144,Regije!B:B,Regije!A:A)</f>
        <v>2</v>
      </c>
    </row>
    <row r="145" spans="1:5">
      <c r="A145">
        <v>89</v>
      </c>
      <c r="B145">
        <v>2313</v>
      </c>
      <c r="C145" t="s">
        <v>159</v>
      </c>
      <c r="D145" t="s">
        <v>106</v>
      </c>
      <c r="E145">
        <f>_xlfn.XLOOKUP(D145,Regije!B:B,Regije!A:A)</f>
        <v>2</v>
      </c>
    </row>
    <row r="146" spans="1:5">
      <c r="A146">
        <v>465</v>
      </c>
      <c r="B146">
        <v>2314</v>
      </c>
      <c r="C146" t="s">
        <v>160</v>
      </c>
      <c r="D146" t="s">
        <v>106</v>
      </c>
      <c r="E146">
        <f>_xlfn.XLOOKUP(D146,Regije!B:B,Regije!A:A)</f>
        <v>2</v>
      </c>
    </row>
    <row r="147" spans="1:5">
      <c r="A147">
        <v>403</v>
      </c>
      <c r="B147">
        <v>2315</v>
      </c>
      <c r="C147" t="s">
        <v>161</v>
      </c>
      <c r="D147" t="s">
        <v>106</v>
      </c>
      <c r="E147">
        <f>_xlfn.XLOOKUP(D147,Regije!B:B,Regije!A:A)</f>
        <v>2</v>
      </c>
    </row>
    <row r="148" spans="1:5">
      <c r="A148">
        <v>464</v>
      </c>
      <c r="B148">
        <v>2316</v>
      </c>
      <c r="C148" t="s">
        <v>162</v>
      </c>
      <c r="D148" t="s">
        <v>106</v>
      </c>
      <c r="E148">
        <f>_xlfn.XLOOKUP(D148,Regije!B:B,Regije!A:A)</f>
        <v>2</v>
      </c>
    </row>
    <row r="149" spans="1:5">
      <c r="A149">
        <v>256</v>
      </c>
      <c r="B149">
        <v>2317</v>
      </c>
      <c r="C149" t="s">
        <v>163</v>
      </c>
      <c r="D149" t="s">
        <v>106</v>
      </c>
      <c r="E149">
        <f>_xlfn.XLOOKUP(D149,Regije!B:B,Regije!A:A)</f>
        <v>2</v>
      </c>
    </row>
    <row r="150" spans="1:5">
      <c r="A150">
        <v>178</v>
      </c>
      <c r="B150">
        <v>2318</v>
      </c>
      <c r="C150" t="s">
        <v>164</v>
      </c>
      <c r="D150" t="s">
        <v>106</v>
      </c>
      <c r="E150">
        <f>_xlfn.XLOOKUP(D150,Regije!B:B,Regije!A:A)</f>
        <v>2</v>
      </c>
    </row>
    <row r="151" spans="1:5">
      <c r="A151">
        <v>291</v>
      </c>
      <c r="B151">
        <v>2319</v>
      </c>
      <c r="C151" t="s">
        <v>165</v>
      </c>
      <c r="D151" t="s">
        <v>106</v>
      </c>
      <c r="E151">
        <f>_xlfn.XLOOKUP(D151,Regije!B:B,Regije!A:A)</f>
        <v>2</v>
      </c>
    </row>
    <row r="152" spans="1:5">
      <c r="A152">
        <v>214</v>
      </c>
      <c r="B152">
        <v>2321</v>
      </c>
      <c r="C152" t="s">
        <v>166</v>
      </c>
      <c r="D152" t="s">
        <v>106</v>
      </c>
      <c r="E152">
        <f>_xlfn.XLOOKUP(D152,Regije!B:B,Regije!A:A)</f>
        <v>2</v>
      </c>
    </row>
    <row r="153" spans="1:5">
      <c r="A153">
        <v>213</v>
      </c>
      <c r="B153">
        <v>2322</v>
      </c>
      <c r="C153" t="s">
        <v>167</v>
      </c>
      <c r="D153" t="s">
        <v>106</v>
      </c>
      <c r="E153">
        <f>_xlfn.XLOOKUP(D153,Regije!B:B,Regije!A:A)</f>
        <v>2</v>
      </c>
    </row>
    <row r="154" spans="1:5">
      <c r="A154">
        <v>310</v>
      </c>
      <c r="B154">
        <v>2323</v>
      </c>
      <c r="C154" t="s">
        <v>168</v>
      </c>
      <c r="D154" t="s">
        <v>106</v>
      </c>
      <c r="E154">
        <f>_xlfn.XLOOKUP(D154,Regije!B:B,Regije!A:A)</f>
        <v>2</v>
      </c>
    </row>
    <row r="155" spans="1:5">
      <c r="A155">
        <v>208</v>
      </c>
      <c r="B155">
        <v>2324</v>
      </c>
      <c r="C155" t="s">
        <v>169</v>
      </c>
      <c r="D155" t="s">
        <v>106</v>
      </c>
      <c r="E155">
        <f>_xlfn.XLOOKUP(D155,Regije!B:B,Regije!A:A)</f>
        <v>2</v>
      </c>
    </row>
    <row r="156" spans="1:5">
      <c r="A156">
        <v>144</v>
      </c>
      <c r="B156">
        <v>2325</v>
      </c>
      <c r="C156" t="s">
        <v>170</v>
      </c>
      <c r="D156" t="s">
        <v>106</v>
      </c>
      <c r="E156">
        <f>_xlfn.XLOOKUP(D156,Regije!B:B,Regije!A:A)</f>
        <v>2</v>
      </c>
    </row>
    <row r="157" spans="1:5">
      <c r="A157">
        <v>46</v>
      </c>
      <c r="B157">
        <v>2326</v>
      </c>
      <c r="C157" t="s">
        <v>171</v>
      </c>
      <c r="D157" t="s">
        <v>106</v>
      </c>
      <c r="E157">
        <f>_xlfn.XLOOKUP(D157,Regije!B:B,Regije!A:A)</f>
        <v>2</v>
      </c>
    </row>
    <row r="158" spans="1:5">
      <c r="A158">
        <v>312</v>
      </c>
      <c r="B158">
        <v>2327</v>
      </c>
      <c r="C158" t="s">
        <v>172</v>
      </c>
      <c r="D158" t="s">
        <v>106</v>
      </c>
      <c r="E158">
        <f>_xlfn.XLOOKUP(D158,Regije!B:B,Regije!A:A)</f>
        <v>2</v>
      </c>
    </row>
    <row r="159" spans="1:5">
      <c r="A159">
        <v>297</v>
      </c>
      <c r="B159">
        <v>2331</v>
      </c>
      <c r="C159" t="s">
        <v>173</v>
      </c>
      <c r="D159" t="s">
        <v>106</v>
      </c>
      <c r="E159">
        <f>_xlfn.XLOOKUP(D159,Regije!B:B,Regije!A:A)</f>
        <v>2</v>
      </c>
    </row>
    <row r="160" spans="1:5">
      <c r="A160">
        <v>187</v>
      </c>
      <c r="B160">
        <v>2341</v>
      </c>
      <c r="C160" t="s">
        <v>174</v>
      </c>
      <c r="D160" t="s">
        <v>106</v>
      </c>
      <c r="E160">
        <f>_xlfn.XLOOKUP(D160,Regije!B:B,Regije!A:A)</f>
        <v>2</v>
      </c>
    </row>
    <row r="161" spans="1:5">
      <c r="A161">
        <v>334</v>
      </c>
      <c r="B161">
        <v>2342</v>
      </c>
      <c r="C161" t="s">
        <v>175</v>
      </c>
      <c r="D161" t="s">
        <v>106</v>
      </c>
      <c r="E161">
        <f>_xlfn.XLOOKUP(D161,Regije!B:B,Regije!A:A)</f>
        <v>2</v>
      </c>
    </row>
    <row r="162" spans="1:5">
      <c r="A162">
        <v>87</v>
      </c>
      <c r="B162">
        <v>2343</v>
      </c>
      <c r="C162" t="s">
        <v>176</v>
      </c>
      <c r="D162" t="s">
        <v>106</v>
      </c>
      <c r="E162">
        <f>_xlfn.XLOOKUP(D162,Regije!B:B,Regije!A:A)</f>
        <v>2</v>
      </c>
    </row>
    <row r="163" spans="1:5">
      <c r="A163">
        <v>209</v>
      </c>
      <c r="B163">
        <v>2344</v>
      </c>
      <c r="C163" t="s">
        <v>177</v>
      </c>
      <c r="D163" t="s">
        <v>106</v>
      </c>
      <c r="E163">
        <f>_xlfn.XLOOKUP(D163,Regije!B:B,Regije!A:A)</f>
        <v>2</v>
      </c>
    </row>
    <row r="164" spans="1:5">
      <c r="A164">
        <v>10</v>
      </c>
      <c r="B164">
        <v>2345</v>
      </c>
      <c r="C164" t="s">
        <v>178</v>
      </c>
      <c r="D164" t="s">
        <v>106</v>
      </c>
      <c r="E164">
        <f>_xlfn.XLOOKUP(D164,Regije!B:B,Regije!A:A)</f>
        <v>2</v>
      </c>
    </row>
    <row r="165" spans="1:5">
      <c r="A165">
        <v>139</v>
      </c>
      <c r="B165">
        <v>2351</v>
      </c>
      <c r="C165" t="s">
        <v>179</v>
      </c>
      <c r="D165" t="s">
        <v>106</v>
      </c>
      <c r="E165">
        <f>_xlfn.XLOOKUP(D165,Regije!B:B,Regije!A:A)</f>
        <v>2</v>
      </c>
    </row>
    <row r="166" spans="1:5">
      <c r="A166">
        <v>338</v>
      </c>
      <c r="B166">
        <v>2352</v>
      </c>
      <c r="C166" t="s">
        <v>180</v>
      </c>
      <c r="D166" t="s">
        <v>106</v>
      </c>
      <c r="E166">
        <f>_xlfn.XLOOKUP(D166,Regije!B:B,Regije!A:A)</f>
        <v>2</v>
      </c>
    </row>
    <row r="167" spans="1:5">
      <c r="A167">
        <v>375</v>
      </c>
      <c r="B167">
        <v>2353</v>
      </c>
      <c r="C167" t="s">
        <v>181</v>
      </c>
      <c r="D167" t="s">
        <v>106</v>
      </c>
      <c r="E167">
        <f>_xlfn.XLOOKUP(D167,Regije!B:B,Regije!A:A)</f>
        <v>2</v>
      </c>
    </row>
    <row r="168" spans="1:5">
      <c r="A168">
        <v>29</v>
      </c>
      <c r="B168">
        <v>2354</v>
      </c>
      <c r="C168" t="s">
        <v>182</v>
      </c>
      <c r="D168" t="s">
        <v>106</v>
      </c>
      <c r="E168">
        <f>_xlfn.XLOOKUP(D168,Regije!B:B,Regije!A:A)</f>
        <v>2</v>
      </c>
    </row>
    <row r="169" spans="1:5">
      <c r="A169">
        <v>315</v>
      </c>
      <c r="B169">
        <v>2360</v>
      </c>
      <c r="C169" t="s">
        <v>183</v>
      </c>
      <c r="D169" t="s">
        <v>184</v>
      </c>
      <c r="E169">
        <f>_xlfn.XLOOKUP(D169,Regije!B:B,Regije!A:A)</f>
        <v>3</v>
      </c>
    </row>
    <row r="170" spans="1:5">
      <c r="A170">
        <v>262</v>
      </c>
      <c r="B170">
        <v>2361</v>
      </c>
      <c r="C170" t="s">
        <v>185</v>
      </c>
      <c r="D170" t="s">
        <v>106</v>
      </c>
      <c r="E170">
        <f>_xlfn.XLOOKUP(D170,Regije!B:B,Regije!A:A)</f>
        <v>2</v>
      </c>
    </row>
    <row r="171" spans="1:5">
      <c r="A171">
        <v>143</v>
      </c>
      <c r="B171">
        <v>2362</v>
      </c>
      <c r="C171" t="s">
        <v>186</v>
      </c>
      <c r="D171" t="s">
        <v>106</v>
      </c>
      <c r="E171">
        <f>_xlfn.XLOOKUP(D171,Regije!B:B,Regije!A:A)</f>
        <v>2</v>
      </c>
    </row>
    <row r="172" spans="1:5">
      <c r="A172">
        <v>286</v>
      </c>
      <c r="B172">
        <v>2363</v>
      </c>
      <c r="C172" t="s">
        <v>187</v>
      </c>
      <c r="D172" t="s">
        <v>184</v>
      </c>
      <c r="E172">
        <f>_xlfn.XLOOKUP(D172,Regije!B:B,Regije!A:A)</f>
        <v>3</v>
      </c>
    </row>
    <row r="173" spans="1:5">
      <c r="A173">
        <v>326</v>
      </c>
      <c r="B173">
        <v>2364</v>
      </c>
      <c r="C173" t="s">
        <v>188</v>
      </c>
      <c r="D173" t="s">
        <v>184</v>
      </c>
      <c r="E173">
        <f>_xlfn.XLOOKUP(D173,Regije!B:B,Regije!A:A)</f>
        <v>3</v>
      </c>
    </row>
    <row r="174" spans="1:5">
      <c r="A174">
        <v>454</v>
      </c>
      <c r="B174">
        <v>2365</v>
      </c>
      <c r="C174" t="s">
        <v>189</v>
      </c>
      <c r="D174" t="s">
        <v>184</v>
      </c>
      <c r="E174">
        <f>_xlfn.XLOOKUP(D174,Regije!B:B,Regije!A:A)</f>
        <v>3</v>
      </c>
    </row>
    <row r="175" spans="1:5">
      <c r="A175">
        <v>244</v>
      </c>
      <c r="B175">
        <v>2366</v>
      </c>
      <c r="C175" t="s">
        <v>190</v>
      </c>
      <c r="D175" t="s">
        <v>184</v>
      </c>
      <c r="E175">
        <f>_xlfn.XLOOKUP(D175,Regije!B:B,Regije!A:A)</f>
        <v>3</v>
      </c>
    </row>
    <row r="176" spans="1:5">
      <c r="A176">
        <v>455</v>
      </c>
      <c r="B176">
        <v>2367</v>
      </c>
      <c r="C176" t="s">
        <v>191</v>
      </c>
      <c r="D176" t="s">
        <v>184</v>
      </c>
      <c r="E176">
        <f>_xlfn.XLOOKUP(D176,Regije!B:B,Regije!A:A)</f>
        <v>3</v>
      </c>
    </row>
    <row r="177" spans="1:5">
      <c r="A177">
        <v>83</v>
      </c>
      <c r="B177">
        <v>2370</v>
      </c>
      <c r="C177" t="s">
        <v>192</v>
      </c>
      <c r="D177" t="s">
        <v>184</v>
      </c>
      <c r="E177">
        <f>_xlfn.XLOOKUP(D177,Regije!B:B,Regije!A:A)</f>
        <v>3</v>
      </c>
    </row>
    <row r="178" spans="1:5">
      <c r="A178">
        <v>417</v>
      </c>
      <c r="B178">
        <v>2371</v>
      </c>
      <c r="C178" t="s">
        <v>193</v>
      </c>
      <c r="D178" t="s">
        <v>184</v>
      </c>
      <c r="E178">
        <f>_xlfn.XLOOKUP(D178,Regije!B:B,Regije!A:A)</f>
        <v>3</v>
      </c>
    </row>
    <row r="179" spans="1:5">
      <c r="A179">
        <v>186</v>
      </c>
      <c r="B179">
        <v>2372</v>
      </c>
      <c r="C179" t="s">
        <v>194</v>
      </c>
      <c r="D179" t="s">
        <v>184</v>
      </c>
      <c r="E179">
        <f>_xlfn.XLOOKUP(D179,Regije!B:B,Regije!A:A)</f>
        <v>3</v>
      </c>
    </row>
    <row r="180" spans="1:5">
      <c r="A180">
        <v>388</v>
      </c>
      <c r="B180">
        <v>2373</v>
      </c>
      <c r="C180" t="s">
        <v>195</v>
      </c>
      <c r="D180" t="s">
        <v>184</v>
      </c>
      <c r="E180">
        <f>_xlfn.XLOOKUP(D180,Regije!B:B,Regije!A:A)</f>
        <v>3</v>
      </c>
    </row>
    <row r="181" spans="1:5">
      <c r="A181">
        <v>346</v>
      </c>
      <c r="B181">
        <v>2380</v>
      </c>
      <c r="C181" t="s">
        <v>196</v>
      </c>
      <c r="D181" t="s">
        <v>184</v>
      </c>
      <c r="E181">
        <f>_xlfn.XLOOKUP(D181,Regije!B:B,Regije!A:A)</f>
        <v>3</v>
      </c>
    </row>
    <row r="182" spans="1:5">
      <c r="A182">
        <v>278</v>
      </c>
      <c r="B182">
        <v>2381</v>
      </c>
      <c r="C182" t="s">
        <v>197</v>
      </c>
      <c r="D182" t="s">
        <v>184</v>
      </c>
      <c r="E182">
        <f>_xlfn.XLOOKUP(D182,Regije!B:B,Regije!A:A)</f>
        <v>3</v>
      </c>
    </row>
    <row r="183" spans="1:5">
      <c r="A183">
        <v>234</v>
      </c>
      <c r="B183">
        <v>2382</v>
      </c>
      <c r="C183" t="s">
        <v>198</v>
      </c>
      <c r="D183" t="s">
        <v>184</v>
      </c>
      <c r="E183">
        <f>_xlfn.XLOOKUP(D183,Regije!B:B,Regije!A:A)</f>
        <v>3</v>
      </c>
    </row>
    <row r="184" spans="1:5">
      <c r="A184">
        <v>407</v>
      </c>
      <c r="B184">
        <v>2383</v>
      </c>
      <c r="C184" t="s">
        <v>199</v>
      </c>
      <c r="D184" t="s">
        <v>184</v>
      </c>
      <c r="E184">
        <f>_xlfn.XLOOKUP(D184,Regije!B:B,Regije!A:A)</f>
        <v>3</v>
      </c>
    </row>
    <row r="185" spans="1:5">
      <c r="A185">
        <v>321</v>
      </c>
      <c r="B185">
        <v>2390</v>
      </c>
      <c r="C185" t="s">
        <v>200</v>
      </c>
      <c r="D185" t="s">
        <v>184</v>
      </c>
      <c r="E185">
        <f>_xlfn.XLOOKUP(D185,Regije!B:B,Regije!A:A)</f>
        <v>3</v>
      </c>
    </row>
    <row r="186" spans="1:5">
      <c r="A186">
        <v>303</v>
      </c>
      <c r="B186">
        <v>2391</v>
      </c>
      <c r="C186" t="s">
        <v>201</v>
      </c>
      <c r="D186" t="s">
        <v>184</v>
      </c>
      <c r="E186">
        <f>_xlfn.XLOOKUP(D186,Regije!B:B,Regije!A:A)</f>
        <v>3</v>
      </c>
    </row>
    <row r="187" spans="1:5">
      <c r="A187">
        <v>228</v>
      </c>
      <c r="B187">
        <v>2392</v>
      </c>
      <c r="C187" t="s">
        <v>202</v>
      </c>
      <c r="D187" t="s">
        <v>184</v>
      </c>
      <c r="E187">
        <f>_xlfn.XLOOKUP(D187,Regije!B:B,Regije!A:A)</f>
        <v>3</v>
      </c>
    </row>
    <row r="188" spans="1:5">
      <c r="A188">
        <v>53</v>
      </c>
      <c r="B188">
        <v>2393</v>
      </c>
      <c r="C188" t="s">
        <v>203</v>
      </c>
      <c r="D188" t="s">
        <v>184</v>
      </c>
      <c r="E188">
        <f>_xlfn.XLOOKUP(D188,Regije!B:B,Regije!A:A)</f>
        <v>3</v>
      </c>
    </row>
    <row r="189" spans="1:5">
      <c r="A189">
        <v>162</v>
      </c>
      <c r="B189">
        <v>2394</v>
      </c>
      <c r="C189" t="s">
        <v>204</v>
      </c>
      <c r="D189" t="s">
        <v>184</v>
      </c>
      <c r="E189">
        <f>_xlfn.XLOOKUP(D189,Regije!B:B,Regije!A:A)</f>
        <v>3</v>
      </c>
    </row>
    <row r="190" spans="1:5">
      <c r="A190">
        <v>38</v>
      </c>
      <c r="B190">
        <v>3000</v>
      </c>
      <c r="C190" t="s">
        <v>205</v>
      </c>
      <c r="D190" t="s">
        <v>206</v>
      </c>
      <c r="E190">
        <f>_xlfn.XLOOKUP(D190,Regije!B:B,Regije!A:A)</f>
        <v>4</v>
      </c>
    </row>
    <row r="191" spans="1:5">
      <c r="A191">
        <v>39</v>
      </c>
      <c r="B191">
        <v>3001</v>
      </c>
      <c r="C191" t="s">
        <v>207</v>
      </c>
      <c r="D191" t="s">
        <v>206</v>
      </c>
      <c r="E191">
        <f>_xlfn.XLOOKUP(D191,Regije!B:B,Regije!A:A)</f>
        <v>4</v>
      </c>
    </row>
    <row r="192" spans="1:5">
      <c r="A192">
        <v>408</v>
      </c>
      <c r="B192">
        <v>3201</v>
      </c>
      <c r="C192" t="s">
        <v>208</v>
      </c>
      <c r="D192" t="s">
        <v>206</v>
      </c>
      <c r="E192">
        <f>_xlfn.XLOOKUP(D192,Regije!B:B,Regije!A:A)</f>
        <v>4</v>
      </c>
    </row>
    <row r="193" spans="1:5">
      <c r="A193">
        <v>189</v>
      </c>
      <c r="B193">
        <v>3202</v>
      </c>
      <c r="C193" t="s">
        <v>209</v>
      </c>
      <c r="D193" t="s">
        <v>206</v>
      </c>
      <c r="E193">
        <f>_xlfn.XLOOKUP(D193,Regije!B:B,Regije!A:A)</f>
        <v>4</v>
      </c>
    </row>
    <row r="194" spans="1:5">
      <c r="A194">
        <v>248</v>
      </c>
      <c r="B194">
        <v>3203</v>
      </c>
      <c r="C194" t="s">
        <v>210</v>
      </c>
      <c r="D194" t="s">
        <v>206</v>
      </c>
      <c r="E194">
        <f>_xlfn.XLOOKUP(D194,Regije!B:B,Regije!A:A)</f>
        <v>4</v>
      </c>
    </row>
    <row r="195" spans="1:5">
      <c r="A195">
        <v>67</v>
      </c>
      <c r="B195">
        <v>3204</v>
      </c>
      <c r="C195" t="s">
        <v>211</v>
      </c>
      <c r="D195" t="s">
        <v>206</v>
      </c>
      <c r="E195">
        <f>_xlfn.XLOOKUP(D195,Regije!B:B,Regije!A:A)</f>
        <v>4</v>
      </c>
    </row>
    <row r="196" spans="1:5">
      <c r="A196">
        <v>445</v>
      </c>
      <c r="B196">
        <v>3205</v>
      </c>
      <c r="C196" t="s">
        <v>212</v>
      </c>
      <c r="D196" t="s">
        <v>206</v>
      </c>
      <c r="E196">
        <f>_xlfn.XLOOKUP(D196,Regije!B:B,Regije!A:A)</f>
        <v>4</v>
      </c>
    </row>
    <row r="197" spans="1:5">
      <c r="A197">
        <v>370</v>
      </c>
      <c r="B197">
        <v>3206</v>
      </c>
      <c r="C197" t="s">
        <v>213</v>
      </c>
      <c r="D197" t="s">
        <v>206</v>
      </c>
      <c r="E197">
        <f>_xlfn.XLOOKUP(D197,Regije!B:B,Regije!A:A)</f>
        <v>4</v>
      </c>
    </row>
    <row r="198" spans="1:5">
      <c r="A198">
        <v>348</v>
      </c>
      <c r="B198">
        <v>3210</v>
      </c>
      <c r="C198" t="s">
        <v>214</v>
      </c>
      <c r="D198" t="s">
        <v>206</v>
      </c>
      <c r="E198">
        <f>_xlfn.XLOOKUP(D198,Regije!B:B,Regije!A:A)</f>
        <v>4</v>
      </c>
    </row>
    <row r="199" spans="1:5">
      <c r="A199">
        <v>397</v>
      </c>
      <c r="B199">
        <v>3211</v>
      </c>
      <c r="C199" t="s">
        <v>215</v>
      </c>
      <c r="D199" t="s">
        <v>206</v>
      </c>
      <c r="E199">
        <f>_xlfn.XLOOKUP(D199,Regije!B:B,Regije!A:A)</f>
        <v>4</v>
      </c>
    </row>
    <row r="200" spans="1:5">
      <c r="A200">
        <v>448</v>
      </c>
      <c r="B200">
        <v>3212</v>
      </c>
      <c r="C200" t="s">
        <v>216</v>
      </c>
      <c r="D200" t="s">
        <v>206</v>
      </c>
      <c r="E200">
        <f>_xlfn.XLOOKUP(D200,Regije!B:B,Regije!A:A)</f>
        <v>4</v>
      </c>
    </row>
    <row r="201" spans="1:5">
      <c r="A201">
        <v>90</v>
      </c>
      <c r="B201">
        <v>3213</v>
      </c>
      <c r="C201" t="s">
        <v>217</v>
      </c>
      <c r="D201" t="s">
        <v>206</v>
      </c>
      <c r="E201">
        <f>_xlfn.XLOOKUP(D201,Regije!B:B,Regije!A:A)</f>
        <v>4</v>
      </c>
    </row>
    <row r="202" spans="1:5">
      <c r="A202">
        <v>471</v>
      </c>
      <c r="B202">
        <v>3214</v>
      </c>
      <c r="C202" t="s">
        <v>218</v>
      </c>
      <c r="D202" s="2" t="s">
        <v>206</v>
      </c>
      <c r="E202">
        <f>_xlfn.XLOOKUP(D202,Regije!B:B,Regije!A:A)</f>
        <v>4</v>
      </c>
    </row>
    <row r="203" spans="1:5">
      <c r="A203">
        <v>200</v>
      </c>
      <c r="B203">
        <v>3215</v>
      </c>
      <c r="C203" t="s">
        <v>219</v>
      </c>
      <c r="D203" t="s">
        <v>206</v>
      </c>
      <c r="E203">
        <f>_xlfn.XLOOKUP(D203,Regije!B:B,Regije!A:A)</f>
        <v>4</v>
      </c>
    </row>
    <row r="204" spans="1:5">
      <c r="A204">
        <v>411</v>
      </c>
      <c r="B204">
        <v>3220</v>
      </c>
      <c r="C204" t="s">
        <v>220</v>
      </c>
      <c r="D204" t="s">
        <v>206</v>
      </c>
      <c r="E204">
        <f>_xlfn.XLOOKUP(D204,Regije!B:B,Regije!A:A)</f>
        <v>4</v>
      </c>
    </row>
    <row r="205" spans="1:5">
      <c r="A205">
        <v>413</v>
      </c>
      <c r="B205">
        <v>3221</v>
      </c>
      <c r="C205" t="s">
        <v>221</v>
      </c>
      <c r="D205" t="s">
        <v>206</v>
      </c>
      <c r="E205">
        <f>_xlfn.XLOOKUP(D205,Regije!B:B,Regije!A:A)</f>
        <v>4</v>
      </c>
    </row>
    <row r="206" spans="1:5">
      <c r="A206">
        <v>82</v>
      </c>
      <c r="B206">
        <v>3222</v>
      </c>
      <c r="C206" t="s">
        <v>222</v>
      </c>
      <c r="D206" t="s">
        <v>206</v>
      </c>
      <c r="E206">
        <f>_xlfn.XLOOKUP(D206,Regije!B:B,Regije!A:A)</f>
        <v>4</v>
      </c>
    </row>
    <row r="207" spans="1:5">
      <c r="A207">
        <v>205</v>
      </c>
      <c r="B207">
        <v>3223</v>
      </c>
      <c r="C207" t="s">
        <v>223</v>
      </c>
      <c r="D207" t="s">
        <v>206</v>
      </c>
      <c r="E207">
        <f>_xlfn.XLOOKUP(D207,Regije!B:B,Regije!A:A)</f>
        <v>4</v>
      </c>
    </row>
    <row r="208" spans="1:5">
      <c r="A208">
        <v>63</v>
      </c>
      <c r="B208">
        <v>3224</v>
      </c>
      <c r="C208" t="s">
        <v>224</v>
      </c>
      <c r="D208" t="s">
        <v>206</v>
      </c>
      <c r="E208">
        <f>_xlfn.XLOOKUP(D208,Regije!B:B,Regije!A:A)</f>
        <v>4</v>
      </c>
    </row>
    <row r="209" spans="1:5">
      <c r="A209">
        <v>271</v>
      </c>
      <c r="B209">
        <v>3225</v>
      </c>
      <c r="C209" t="s">
        <v>225</v>
      </c>
      <c r="D209" t="s">
        <v>206</v>
      </c>
      <c r="E209">
        <f>_xlfn.XLOOKUP(D209,Regije!B:B,Regije!A:A)</f>
        <v>4</v>
      </c>
    </row>
    <row r="210" spans="1:5">
      <c r="A210">
        <v>390</v>
      </c>
      <c r="B210">
        <v>3230</v>
      </c>
      <c r="C210" t="s">
        <v>226</v>
      </c>
      <c r="D210" t="s">
        <v>206</v>
      </c>
      <c r="E210">
        <f>_xlfn.XLOOKUP(D210,Regije!B:B,Regije!A:A)</f>
        <v>4</v>
      </c>
    </row>
    <row r="211" spans="1:5">
      <c r="A211">
        <v>109</v>
      </c>
      <c r="B211">
        <v>3231</v>
      </c>
      <c r="C211" t="s">
        <v>227</v>
      </c>
      <c r="D211" t="s">
        <v>206</v>
      </c>
      <c r="E211">
        <f>_xlfn.XLOOKUP(D211,Regije!B:B,Regije!A:A)</f>
        <v>4</v>
      </c>
    </row>
    <row r="212" spans="1:5">
      <c r="A212">
        <v>294</v>
      </c>
      <c r="B212">
        <v>3232</v>
      </c>
      <c r="C212" t="s">
        <v>228</v>
      </c>
      <c r="D212" t="s">
        <v>206</v>
      </c>
      <c r="E212">
        <f>_xlfn.XLOOKUP(D212,Regije!B:B,Regije!A:A)</f>
        <v>4</v>
      </c>
    </row>
    <row r="213" spans="1:5">
      <c r="A213">
        <v>137</v>
      </c>
      <c r="B213">
        <v>3233</v>
      </c>
      <c r="C213" t="s">
        <v>229</v>
      </c>
      <c r="D213" t="s">
        <v>206</v>
      </c>
      <c r="E213">
        <f>_xlfn.XLOOKUP(D213,Regije!B:B,Regije!A:A)</f>
        <v>4</v>
      </c>
    </row>
    <row r="214" spans="1:5">
      <c r="A214">
        <v>401</v>
      </c>
      <c r="B214">
        <v>3240</v>
      </c>
      <c r="C214" t="s">
        <v>230</v>
      </c>
      <c r="D214" t="s">
        <v>206</v>
      </c>
      <c r="E214">
        <f>_xlfn.XLOOKUP(D214,Regije!B:B,Regije!A:A)</f>
        <v>4</v>
      </c>
    </row>
    <row r="215" spans="1:5">
      <c r="A215">
        <v>284</v>
      </c>
      <c r="B215">
        <v>3241</v>
      </c>
      <c r="C215" t="s">
        <v>231</v>
      </c>
      <c r="D215" t="s">
        <v>206</v>
      </c>
      <c r="E215">
        <f>_xlfn.XLOOKUP(D215,Regije!B:B,Regije!A:A)</f>
        <v>4</v>
      </c>
    </row>
    <row r="216" spans="1:5">
      <c r="A216">
        <v>330</v>
      </c>
      <c r="B216">
        <v>3250</v>
      </c>
      <c r="C216" t="s">
        <v>232</v>
      </c>
      <c r="D216" t="s">
        <v>206</v>
      </c>
      <c r="E216">
        <f>_xlfn.XLOOKUP(D216,Regije!B:B,Regije!A:A)</f>
        <v>4</v>
      </c>
    </row>
    <row r="217" spans="1:5">
      <c r="A217">
        <v>332</v>
      </c>
      <c r="B217">
        <v>3252</v>
      </c>
      <c r="C217" t="s">
        <v>233</v>
      </c>
      <c r="D217" t="s">
        <v>206</v>
      </c>
      <c r="E217">
        <f>_xlfn.XLOOKUP(D217,Regije!B:B,Regije!A:A)</f>
        <v>4</v>
      </c>
    </row>
    <row r="218" spans="1:5">
      <c r="A218">
        <v>306</v>
      </c>
      <c r="B218">
        <v>3253</v>
      </c>
      <c r="C218" t="s">
        <v>234</v>
      </c>
      <c r="D218" t="s">
        <v>206</v>
      </c>
      <c r="E218">
        <f>_xlfn.XLOOKUP(D218,Regije!B:B,Regije!A:A)</f>
        <v>4</v>
      </c>
    </row>
    <row r="219" spans="1:5">
      <c r="A219">
        <v>275</v>
      </c>
      <c r="B219">
        <v>3254</v>
      </c>
      <c r="C219" t="s">
        <v>235</v>
      </c>
      <c r="D219" t="s">
        <v>206</v>
      </c>
      <c r="E219">
        <f>_xlfn.XLOOKUP(D219,Regije!B:B,Regije!A:A)</f>
        <v>4</v>
      </c>
    </row>
    <row r="220" spans="1:5">
      <c r="A220">
        <v>35</v>
      </c>
      <c r="B220">
        <v>3255</v>
      </c>
      <c r="C220" t="s">
        <v>236</v>
      </c>
      <c r="D220" t="s">
        <v>206</v>
      </c>
      <c r="E220">
        <f>_xlfn.XLOOKUP(D220,Regije!B:B,Regije!A:A)</f>
        <v>4</v>
      </c>
    </row>
    <row r="221" spans="1:5">
      <c r="A221">
        <v>11</v>
      </c>
      <c r="B221">
        <v>3256</v>
      </c>
      <c r="C221" t="s">
        <v>237</v>
      </c>
      <c r="D221" t="s">
        <v>206</v>
      </c>
      <c r="E221">
        <f>_xlfn.XLOOKUP(D221,Regije!B:B,Regije!A:A)</f>
        <v>4</v>
      </c>
    </row>
    <row r="222" spans="1:5">
      <c r="A222">
        <v>285</v>
      </c>
      <c r="B222">
        <v>3257</v>
      </c>
      <c r="C222" t="s">
        <v>238</v>
      </c>
      <c r="D222" t="s">
        <v>206</v>
      </c>
      <c r="E222">
        <f>_xlfn.XLOOKUP(D222,Regije!B:B,Regije!A:A)</f>
        <v>4</v>
      </c>
    </row>
    <row r="223" spans="1:5">
      <c r="A223">
        <v>164</v>
      </c>
      <c r="B223">
        <v>3260</v>
      </c>
      <c r="C223" t="s">
        <v>239</v>
      </c>
      <c r="D223" t="s">
        <v>206</v>
      </c>
      <c r="E223">
        <f>_xlfn.XLOOKUP(D223,Regije!B:B,Regije!A:A)</f>
        <v>4</v>
      </c>
    </row>
    <row r="224" spans="1:5">
      <c r="A224">
        <v>184</v>
      </c>
      <c r="B224">
        <v>3261</v>
      </c>
      <c r="C224" t="s">
        <v>240</v>
      </c>
      <c r="D224" t="s">
        <v>206</v>
      </c>
      <c r="E224">
        <f>_xlfn.XLOOKUP(D224,Regije!B:B,Regije!A:A)</f>
        <v>4</v>
      </c>
    </row>
    <row r="225" spans="1:5">
      <c r="A225">
        <v>304</v>
      </c>
      <c r="B225">
        <v>3262</v>
      </c>
      <c r="C225" t="s">
        <v>241</v>
      </c>
      <c r="D225" t="s">
        <v>206</v>
      </c>
      <c r="E225">
        <f>_xlfn.XLOOKUP(D225,Regije!B:B,Regije!A:A)</f>
        <v>4</v>
      </c>
    </row>
    <row r="226" spans="1:5">
      <c r="A226">
        <v>97</v>
      </c>
      <c r="B226">
        <v>3263</v>
      </c>
      <c r="C226" t="s">
        <v>242</v>
      </c>
      <c r="D226" t="s">
        <v>206</v>
      </c>
      <c r="E226">
        <f>_xlfn.XLOOKUP(D226,Regije!B:B,Regije!A:A)</f>
        <v>4</v>
      </c>
    </row>
    <row r="227" spans="1:5">
      <c r="A227">
        <v>379</v>
      </c>
      <c r="B227">
        <v>3264</v>
      </c>
      <c r="C227" t="s">
        <v>243</v>
      </c>
      <c r="D227" t="s">
        <v>206</v>
      </c>
      <c r="E227">
        <f>_xlfn.XLOOKUP(D227,Regije!B:B,Regije!A:A)</f>
        <v>4</v>
      </c>
    </row>
    <row r="228" spans="1:5">
      <c r="A228">
        <v>179</v>
      </c>
      <c r="B228">
        <v>3270</v>
      </c>
      <c r="C228" t="s">
        <v>244</v>
      </c>
      <c r="D228" t="s">
        <v>206</v>
      </c>
      <c r="E228">
        <f>_xlfn.XLOOKUP(D228,Regije!B:B,Regije!A:A)</f>
        <v>4</v>
      </c>
    </row>
    <row r="229" spans="1:5">
      <c r="A229">
        <v>391</v>
      </c>
      <c r="B229">
        <v>3271</v>
      </c>
      <c r="C229" t="s">
        <v>245</v>
      </c>
      <c r="D229" t="s">
        <v>57</v>
      </c>
      <c r="E229">
        <f>_xlfn.XLOOKUP(D229,Regije!B:B,Regije!A:A)</f>
        <v>7</v>
      </c>
    </row>
    <row r="230" spans="1:5">
      <c r="A230">
        <v>327</v>
      </c>
      <c r="B230">
        <v>3272</v>
      </c>
      <c r="C230" t="s">
        <v>246</v>
      </c>
      <c r="D230" t="s">
        <v>206</v>
      </c>
      <c r="E230">
        <f>_xlfn.XLOOKUP(D230,Regije!B:B,Regije!A:A)</f>
        <v>4</v>
      </c>
    </row>
    <row r="231" spans="1:5">
      <c r="A231">
        <v>133</v>
      </c>
      <c r="B231">
        <v>3273</v>
      </c>
      <c r="C231" t="s">
        <v>247</v>
      </c>
      <c r="D231" t="s">
        <v>206</v>
      </c>
      <c r="E231">
        <f>_xlfn.XLOOKUP(D231,Regije!B:B,Regije!A:A)</f>
        <v>4</v>
      </c>
    </row>
    <row r="232" spans="1:5">
      <c r="A232">
        <v>266</v>
      </c>
      <c r="B232">
        <v>3301</v>
      </c>
      <c r="C232" t="s">
        <v>248</v>
      </c>
      <c r="D232" t="s">
        <v>206</v>
      </c>
      <c r="E232">
        <f>_xlfn.XLOOKUP(D232,Regije!B:B,Regije!A:A)</f>
        <v>4</v>
      </c>
    </row>
    <row r="233" spans="1:5">
      <c r="A233">
        <v>108</v>
      </c>
      <c r="B233">
        <v>3302</v>
      </c>
      <c r="C233" t="s">
        <v>249</v>
      </c>
      <c r="D233" t="s">
        <v>206</v>
      </c>
      <c r="E233">
        <f>_xlfn.XLOOKUP(D233,Regije!B:B,Regije!A:A)</f>
        <v>4</v>
      </c>
    </row>
    <row r="234" spans="1:5">
      <c r="A234">
        <v>95</v>
      </c>
      <c r="B234">
        <v>3303</v>
      </c>
      <c r="C234" t="s">
        <v>250</v>
      </c>
      <c r="D234" t="s">
        <v>206</v>
      </c>
      <c r="E234">
        <f>_xlfn.XLOOKUP(D234,Regije!B:B,Regije!A:A)</f>
        <v>4</v>
      </c>
    </row>
    <row r="235" spans="1:5">
      <c r="A235">
        <v>412</v>
      </c>
      <c r="B235">
        <v>3304</v>
      </c>
      <c r="C235" t="s">
        <v>251</v>
      </c>
      <c r="D235" t="s">
        <v>206</v>
      </c>
      <c r="E235">
        <f>_xlfn.XLOOKUP(D235,Regije!B:B,Regije!A:A)</f>
        <v>4</v>
      </c>
    </row>
    <row r="236" spans="1:5">
      <c r="A236">
        <v>451</v>
      </c>
      <c r="B236">
        <v>3305</v>
      </c>
      <c r="C236" t="s">
        <v>252</v>
      </c>
      <c r="D236" t="s">
        <v>206</v>
      </c>
      <c r="E236">
        <f>_xlfn.XLOOKUP(D236,Regije!B:B,Regije!A:A)</f>
        <v>4</v>
      </c>
    </row>
    <row r="237" spans="1:5">
      <c r="A237">
        <v>473</v>
      </c>
      <c r="B237">
        <v>3310</v>
      </c>
      <c r="C237" t="s">
        <v>253</v>
      </c>
      <c r="D237" t="s">
        <v>206</v>
      </c>
      <c r="E237">
        <f>_xlfn.XLOOKUP(D237,Regije!B:B,Regije!A:A)</f>
        <v>4</v>
      </c>
    </row>
    <row r="238" spans="1:5">
      <c r="A238">
        <v>384</v>
      </c>
      <c r="B238">
        <v>3311</v>
      </c>
      <c r="C238" t="s">
        <v>254</v>
      </c>
      <c r="D238" t="s">
        <v>206</v>
      </c>
      <c r="E238">
        <f>_xlfn.XLOOKUP(D238,Regije!B:B,Regije!A:A)</f>
        <v>4</v>
      </c>
    </row>
    <row r="239" spans="1:5">
      <c r="A239">
        <v>298</v>
      </c>
      <c r="B239">
        <v>3312</v>
      </c>
      <c r="C239" t="s">
        <v>255</v>
      </c>
      <c r="D239" t="s">
        <v>206</v>
      </c>
      <c r="E239">
        <f>_xlfn.XLOOKUP(D239,Regije!B:B,Regije!A:A)</f>
        <v>4</v>
      </c>
    </row>
    <row r="240" spans="1:5">
      <c r="A240">
        <v>293</v>
      </c>
      <c r="B240">
        <v>3313</v>
      </c>
      <c r="C240" t="s">
        <v>256</v>
      </c>
      <c r="D240" t="s">
        <v>206</v>
      </c>
      <c r="E240">
        <f>_xlfn.XLOOKUP(D240,Regije!B:B,Regije!A:A)</f>
        <v>4</v>
      </c>
    </row>
    <row r="241" spans="1:5">
      <c r="A241">
        <v>26</v>
      </c>
      <c r="B241">
        <v>3314</v>
      </c>
      <c r="C241" t="s">
        <v>257</v>
      </c>
      <c r="D241" t="s">
        <v>206</v>
      </c>
      <c r="E241">
        <f>_xlfn.XLOOKUP(D241,Regije!B:B,Regije!A:A)</f>
        <v>4</v>
      </c>
    </row>
    <row r="242" spans="1:5">
      <c r="A242">
        <v>431</v>
      </c>
      <c r="B242">
        <v>3320</v>
      </c>
      <c r="C242" t="s">
        <v>258</v>
      </c>
      <c r="D242" t="s">
        <v>206</v>
      </c>
      <c r="E242">
        <f>_xlfn.XLOOKUP(D242,Regije!B:B,Regije!A:A)</f>
        <v>4</v>
      </c>
    </row>
    <row r="243" spans="1:5">
      <c r="A243">
        <v>432</v>
      </c>
      <c r="B243">
        <v>3322</v>
      </c>
      <c r="C243" t="s">
        <v>258</v>
      </c>
      <c r="D243" t="s">
        <v>206</v>
      </c>
      <c r="E243">
        <f>_xlfn.XLOOKUP(D243,Regije!B:B,Regije!A:A)</f>
        <v>4</v>
      </c>
    </row>
    <row r="244" spans="1:5">
      <c r="A244">
        <v>409</v>
      </c>
      <c r="B244">
        <v>3325</v>
      </c>
      <c r="C244" t="s">
        <v>259</v>
      </c>
      <c r="D244" t="s">
        <v>206</v>
      </c>
      <c r="E244">
        <f>_xlfn.XLOOKUP(D244,Regije!B:B,Regije!A:A)</f>
        <v>4</v>
      </c>
    </row>
    <row r="245" spans="1:5">
      <c r="A245">
        <v>416</v>
      </c>
      <c r="B245">
        <v>3326</v>
      </c>
      <c r="C245" t="s">
        <v>260</v>
      </c>
      <c r="D245" t="s">
        <v>206</v>
      </c>
      <c r="E245">
        <f>_xlfn.XLOOKUP(D245,Regije!B:B,Regije!A:A)</f>
        <v>4</v>
      </c>
    </row>
    <row r="246" spans="1:5">
      <c r="A246">
        <v>405</v>
      </c>
      <c r="B246">
        <v>3327</v>
      </c>
      <c r="C246" t="s">
        <v>261</v>
      </c>
      <c r="D246" t="s">
        <v>206</v>
      </c>
      <c r="E246">
        <f>_xlfn.XLOOKUP(D246,Regije!B:B,Regije!A:A)</f>
        <v>4</v>
      </c>
    </row>
    <row r="247" spans="1:5">
      <c r="A247">
        <v>241</v>
      </c>
      <c r="B247">
        <v>3330</v>
      </c>
      <c r="C247" t="s">
        <v>262</v>
      </c>
      <c r="D247" t="s">
        <v>206</v>
      </c>
      <c r="E247">
        <f>_xlfn.XLOOKUP(D247,Regije!B:B,Regije!A:A)</f>
        <v>4</v>
      </c>
    </row>
    <row r="248" spans="1:5">
      <c r="A248">
        <v>246</v>
      </c>
      <c r="B248">
        <v>3331</v>
      </c>
      <c r="C248" t="s">
        <v>263</v>
      </c>
      <c r="D248" t="s">
        <v>206</v>
      </c>
      <c r="E248">
        <f>_xlfn.XLOOKUP(D248,Regije!B:B,Regije!A:A)</f>
        <v>4</v>
      </c>
    </row>
    <row r="249" spans="1:5">
      <c r="A249">
        <v>323</v>
      </c>
      <c r="B249">
        <v>3332</v>
      </c>
      <c r="C249" t="s">
        <v>264</v>
      </c>
      <c r="D249" t="s">
        <v>206</v>
      </c>
      <c r="E249">
        <f>_xlfn.XLOOKUP(D249,Regije!B:B,Regije!A:A)</f>
        <v>4</v>
      </c>
    </row>
    <row r="250" spans="1:5">
      <c r="A250">
        <v>198</v>
      </c>
      <c r="B250">
        <v>3333</v>
      </c>
      <c r="C250" t="s">
        <v>265</v>
      </c>
      <c r="D250" t="s">
        <v>206</v>
      </c>
      <c r="E250">
        <f>_xlfn.XLOOKUP(D250,Regije!B:B,Regije!A:A)</f>
        <v>4</v>
      </c>
    </row>
    <row r="251" spans="1:5">
      <c r="A251">
        <v>210</v>
      </c>
      <c r="B251">
        <v>3334</v>
      </c>
      <c r="C251" t="s">
        <v>266</v>
      </c>
      <c r="D251" t="s">
        <v>206</v>
      </c>
      <c r="E251">
        <f>_xlfn.XLOOKUP(D251,Regije!B:B,Regije!A:A)</f>
        <v>4</v>
      </c>
    </row>
    <row r="252" spans="1:5">
      <c r="A252">
        <v>352</v>
      </c>
      <c r="B252">
        <v>3335</v>
      </c>
      <c r="C252" t="s">
        <v>267</v>
      </c>
      <c r="D252" t="s">
        <v>206</v>
      </c>
      <c r="E252">
        <f>_xlfn.XLOOKUP(D252,Regije!B:B,Regije!A:A)</f>
        <v>4</v>
      </c>
    </row>
    <row r="253" spans="1:5">
      <c r="A253">
        <v>404</v>
      </c>
      <c r="B253">
        <v>3341</v>
      </c>
      <c r="C253" t="s">
        <v>268</v>
      </c>
      <c r="D253" t="s">
        <v>206</v>
      </c>
      <c r="E253">
        <f>_xlfn.XLOOKUP(D253,Regije!B:B,Regije!A:A)</f>
        <v>4</v>
      </c>
    </row>
    <row r="254" spans="1:5">
      <c r="A254">
        <v>100</v>
      </c>
      <c r="B254">
        <v>3342</v>
      </c>
      <c r="C254" t="s">
        <v>269</v>
      </c>
      <c r="D254" t="s">
        <v>206</v>
      </c>
      <c r="E254">
        <f>_xlfn.XLOOKUP(D254,Regije!B:B,Regije!A:A)</f>
        <v>4</v>
      </c>
    </row>
    <row r="255" spans="1:5">
      <c r="A255">
        <v>165</v>
      </c>
      <c r="B255">
        <v>4000</v>
      </c>
      <c r="C255" t="s">
        <v>270</v>
      </c>
      <c r="D255" t="s">
        <v>271</v>
      </c>
      <c r="E255">
        <f>_xlfn.XLOOKUP(D255,Regije!B:B,Regije!A:A)</f>
        <v>9</v>
      </c>
    </row>
    <row r="256" spans="1:5">
      <c r="A256">
        <v>166</v>
      </c>
      <c r="B256">
        <v>4001</v>
      </c>
      <c r="C256" t="s">
        <v>272</v>
      </c>
      <c r="D256" t="s">
        <v>271</v>
      </c>
      <c r="E256">
        <f>_xlfn.XLOOKUP(D256,Regije!B:B,Regije!A:A)</f>
        <v>9</v>
      </c>
    </row>
    <row r="257" spans="1:5">
      <c r="A257">
        <v>461</v>
      </c>
      <c r="B257">
        <v>4201</v>
      </c>
      <c r="C257" t="s">
        <v>273</v>
      </c>
      <c r="D257" t="s">
        <v>271</v>
      </c>
      <c r="E257">
        <f>_xlfn.XLOOKUP(D257,Regije!B:B,Regije!A:A)</f>
        <v>9</v>
      </c>
    </row>
    <row r="258" spans="1:5">
      <c r="A258">
        <v>245</v>
      </c>
      <c r="B258">
        <v>4202</v>
      </c>
      <c r="C258" t="s">
        <v>274</v>
      </c>
      <c r="D258" t="s">
        <v>271</v>
      </c>
      <c r="E258">
        <f>_xlfn.XLOOKUP(D258,Regije!B:B,Regije!A:A)</f>
        <v>9</v>
      </c>
    </row>
    <row r="259" spans="1:5">
      <c r="A259">
        <v>84</v>
      </c>
      <c r="B259">
        <v>4203</v>
      </c>
      <c r="C259" t="s">
        <v>275</v>
      </c>
      <c r="D259" t="s">
        <v>271</v>
      </c>
      <c r="E259">
        <f>_xlfn.XLOOKUP(D259,Regije!B:B,Regije!A:A)</f>
        <v>9</v>
      </c>
    </row>
    <row r="260" spans="1:5">
      <c r="A260">
        <v>94</v>
      </c>
      <c r="B260">
        <v>4204</v>
      </c>
      <c r="C260" t="s">
        <v>276</v>
      </c>
      <c r="D260" t="s">
        <v>271</v>
      </c>
      <c r="E260">
        <f>_xlfn.XLOOKUP(D260,Regije!B:B,Regije!A:A)</f>
        <v>9</v>
      </c>
    </row>
    <row r="261" spans="1:5">
      <c r="A261">
        <v>299</v>
      </c>
      <c r="B261">
        <v>4205</v>
      </c>
      <c r="C261" t="s">
        <v>277</v>
      </c>
      <c r="D261" t="s">
        <v>271</v>
      </c>
      <c r="E261">
        <f>_xlfn.XLOOKUP(D261,Regije!B:B,Regije!A:A)</f>
        <v>9</v>
      </c>
    </row>
    <row r="262" spans="1:5">
      <c r="A262">
        <v>468</v>
      </c>
      <c r="B262">
        <v>4206</v>
      </c>
      <c r="C262" t="s">
        <v>278</v>
      </c>
      <c r="D262" t="s">
        <v>271</v>
      </c>
      <c r="E262">
        <f>_xlfn.XLOOKUP(D262,Regije!B:B,Regije!A:A)</f>
        <v>9</v>
      </c>
    </row>
    <row r="263" spans="1:5">
      <c r="A263">
        <v>40</v>
      </c>
      <c r="B263">
        <v>4207</v>
      </c>
      <c r="C263" t="s">
        <v>279</v>
      </c>
      <c r="D263" t="s">
        <v>271</v>
      </c>
      <c r="E263">
        <f>_xlfn.XLOOKUP(D263,Regije!B:B,Regije!A:A)</f>
        <v>9</v>
      </c>
    </row>
    <row r="264" spans="1:5">
      <c r="A264">
        <v>385</v>
      </c>
      <c r="B264">
        <v>4208</v>
      </c>
      <c r="C264" t="s">
        <v>280</v>
      </c>
      <c r="D264" t="s">
        <v>271</v>
      </c>
      <c r="E264">
        <f>_xlfn.XLOOKUP(D264,Regije!B:B,Regije!A:A)</f>
        <v>9</v>
      </c>
    </row>
    <row r="265" spans="1:5">
      <c r="A265">
        <v>472</v>
      </c>
      <c r="B265">
        <v>4209</v>
      </c>
      <c r="C265" t="s">
        <v>281</v>
      </c>
      <c r="D265" t="s">
        <v>271</v>
      </c>
      <c r="E265">
        <f>_xlfn.XLOOKUP(D265,Regije!B:B,Regije!A:A)</f>
        <v>9</v>
      </c>
    </row>
    <row r="266" spans="1:5">
      <c r="A266">
        <v>33</v>
      </c>
      <c r="B266">
        <v>4210</v>
      </c>
      <c r="C266" t="s">
        <v>282</v>
      </c>
      <c r="D266" t="s">
        <v>271</v>
      </c>
      <c r="E266">
        <f>_xlfn.XLOOKUP(D266,Regije!B:B,Regije!A:A)</f>
        <v>9</v>
      </c>
    </row>
    <row r="267" spans="1:5">
      <c r="A267">
        <v>224</v>
      </c>
      <c r="B267">
        <v>4211</v>
      </c>
      <c r="C267" t="s">
        <v>283</v>
      </c>
      <c r="D267" t="s">
        <v>271</v>
      </c>
      <c r="E267">
        <f>_xlfn.XLOOKUP(D267,Regije!B:B,Regije!A:A)</f>
        <v>9</v>
      </c>
    </row>
    <row r="268" spans="1:5">
      <c r="A268">
        <v>443</v>
      </c>
      <c r="B268">
        <v>4212</v>
      </c>
      <c r="C268" t="s">
        <v>284</v>
      </c>
      <c r="D268" t="s">
        <v>271</v>
      </c>
      <c r="E268">
        <f>_xlfn.XLOOKUP(D268,Regije!B:B,Regije!A:A)</f>
        <v>9</v>
      </c>
    </row>
    <row r="269" spans="1:5">
      <c r="A269">
        <v>396</v>
      </c>
      <c r="B269">
        <v>4220</v>
      </c>
      <c r="C269" t="s">
        <v>285</v>
      </c>
      <c r="D269" t="s">
        <v>271</v>
      </c>
      <c r="E269">
        <f>_xlfn.XLOOKUP(D269,Regije!B:B,Regije!A:A)</f>
        <v>9</v>
      </c>
    </row>
    <row r="270" spans="1:5">
      <c r="A270">
        <v>290</v>
      </c>
      <c r="B270">
        <v>4223</v>
      </c>
      <c r="C270" t="s">
        <v>286</v>
      </c>
      <c r="D270" t="s">
        <v>271</v>
      </c>
      <c r="E270">
        <f>_xlfn.XLOOKUP(D270,Regije!B:B,Regije!A:A)</f>
        <v>9</v>
      </c>
    </row>
    <row r="271" spans="1:5">
      <c r="A271">
        <v>96</v>
      </c>
      <c r="B271">
        <v>4224</v>
      </c>
      <c r="C271" t="s">
        <v>287</v>
      </c>
      <c r="D271" t="s">
        <v>271</v>
      </c>
      <c r="E271">
        <f>_xlfn.XLOOKUP(D271,Regije!B:B,Regije!A:A)</f>
        <v>9</v>
      </c>
    </row>
    <row r="272" spans="1:5">
      <c r="A272">
        <v>355</v>
      </c>
      <c r="B272">
        <v>4225</v>
      </c>
      <c r="C272" t="s">
        <v>288</v>
      </c>
      <c r="D272" t="s">
        <v>271</v>
      </c>
      <c r="E272">
        <f>_xlfn.XLOOKUP(D272,Regije!B:B,Regije!A:A)</f>
        <v>9</v>
      </c>
    </row>
    <row r="273" spans="1:5">
      <c r="A273">
        <v>476</v>
      </c>
      <c r="B273">
        <v>4226</v>
      </c>
      <c r="C273" t="s">
        <v>289</v>
      </c>
      <c r="D273" t="s">
        <v>271</v>
      </c>
      <c r="E273">
        <f>_xlfn.XLOOKUP(D273,Regije!B:B,Regije!A:A)</f>
        <v>9</v>
      </c>
    </row>
    <row r="274" spans="1:5">
      <c r="A274">
        <v>337</v>
      </c>
      <c r="B274">
        <v>4227</v>
      </c>
      <c r="C274" t="s">
        <v>290</v>
      </c>
      <c r="D274" t="s">
        <v>271</v>
      </c>
      <c r="E274">
        <f>_xlfn.XLOOKUP(D274,Regije!B:B,Regije!A:A)</f>
        <v>9</v>
      </c>
    </row>
    <row r="275" spans="1:5">
      <c r="A275">
        <v>474</v>
      </c>
      <c r="B275">
        <v>4228</v>
      </c>
      <c r="C275" t="s">
        <v>291</v>
      </c>
      <c r="D275" t="s">
        <v>271</v>
      </c>
      <c r="E275">
        <f>_xlfn.XLOOKUP(D275,Regije!B:B,Regije!A:A)</f>
        <v>9</v>
      </c>
    </row>
    <row r="276" spans="1:5">
      <c r="A276">
        <v>354</v>
      </c>
      <c r="B276">
        <v>4229</v>
      </c>
      <c r="C276" t="s">
        <v>292</v>
      </c>
      <c r="D276" t="s">
        <v>271</v>
      </c>
      <c r="E276">
        <f>_xlfn.XLOOKUP(D276,Regije!B:B,Regije!A:A)</f>
        <v>9</v>
      </c>
    </row>
    <row r="277" spans="1:5">
      <c r="A277">
        <v>317</v>
      </c>
      <c r="B277">
        <v>4240</v>
      </c>
      <c r="C277" t="s">
        <v>293</v>
      </c>
      <c r="D277" t="s">
        <v>271</v>
      </c>
      <c r="E277">
        <f>_xlfn.XLOOKUP(D277,Regije!B:B,Regije!A:A)</f>
        <v>9</v>
      </c>
    </row>
    <row r="278" spans="1:5">
      <c r="A278">
        <v>30</v>
      </c>
      <c r="B278">
        <v>4243</v>
      </c>
      <c r="C278" t="s">
        <v>294</v>
      </c>
      <c r="D278" t="s">
        <v>271</v>
      </c>
      <c r="E278">
        <f>_xlfn.XLOOKUP(D278,Regije!B:B,Regije!A:A)</f>
        <v>9</v>
      </c>
    </row>
    <row r="279" spans="1:5">
      <c r="A279">
        <v>283</v>
      </c>
      <c r="B279">
        <v>4244</v>
      </c>
      <c r="C279" t="s">
        <v>295</v>
      </c>
      <c r="D279" t="s">
        <v>271</v>
      </c>
      <c r="E279">
        <f>_xlfn.XLOOKUP(D279,Regije!B:B,Regije!A:A)</f>
        <v>9</v>
      </c>
    </row>
    <row r="280" spans="1:5">
      <c r="A280">
        <v>174</v>
      </c>
      <c r="B280">
        <v>4245</v>
      </c>
      <c r="C280" t="s">
        <v>296</v>
      </c>
      <c r="D280" t="s">
        <v>271</v>
      </c>
      <c r="E280">
        <f>_xlfn.XLOOKUP(D280,Regije!B:B,Regije!A:A)</f>
        <v>9</v>
      </c>
    </row>
    <row r="281" spans="1:5">
      <c r="A281">
        <v>138</v>
      </c>
      <c r="B281">
        <v>4246</v>
      </c>
      <c r="C281" t="s">
        <v>297</v>
      </c>
      <c r="D281" t="s">
        <v>271</v>
      </c>
      <c r="E281">
        <f>_xlfn.XLOOKUP(D281,Regije!B:B,Regije!A:A)</f>
        <v>9</v>
      </c>
    </row>
    <row r="282" spans="1:5">
      <c r="A282">
        <v>467</v>
      </c>
      <c r="B282">
        <v>4247</v>
      </c>
      <c r="C282" t="s">
        <v>298</v>
      </c>
      <c r="D282" t="s">
        <v>271</v>
      </c>
      <c r="E282">
        <f>_xlfn.XLOOKUP(D282,Regije!B:B,Regije!A:A)</f>
        <v>9</v>
      </c>
    </row>
    <row r="283" spans="1:5">
      <c r="A283">
        <v>183</v>
      </c>
      <c r="B283">
        <v>4248</v>
      </c>
      <c r="C283" t="s">
        <v>299</v>
      </c>
      <c r="D283" t="s">
        <v>271</v>
      </c>
      <c r="E283">
        <f>_xlfn.XLOOKUP(D283,Regije!B:B,Regije!A:A)</f>
        <v>9</v>
      </c>
    </row>
    <row r="284" spans="1:5">
      <c r="A284">
        <v>15</v>
      </c>
      <c r="B284">
        <v>4260</v>
      </c>
      <c r="C284" t="s">
        <v>300</v>
      </c>
      <c r="D284" t="s">
        <v>271</v>
      </c>
      <c r="E284">
        <f>_xlfn.XLOOKUP(D284,Regije!B:B,Regije!A:A)</f>
        <v>9</v>
      </c>
    </row>
    <row r="285" spans="1:5">
      <c r="A285">
        <v>19</v>
      </c>
      <c r="B285">
        <v>4263</v>
      </c>
      <c r="C285" t="s">
        <v>301</v>
      </c>
      <c r="D285" t="s">
        <v>271</v>
      </c>
      <c r="E285">
        <f>_xlfn.XLOOKUP(D285,Regije!B:B,Regije!A:A)</f>
        <v>9</v>
      </c>
    </row>
    <row r="286" spans="1:5">
      <c r="A286">
        <v>20</v>
      </c>
      <c r="B286">
        <v>4264</v>
      </c>
      <c r="C286" t="s">
        <v>302</v>
      </c>
      <c r="D286" t="s">
        <v>271</v>
      </c>
      <c r="E286">
        <f>_xlfn.XLOOKUP(D286,Regije!B:B,Regije!A:A)</f>
        <v>9</v>
      </c>
    </row>
    <row r="287" spans="1:5">
      <c r="A287">
        <v>21</v>
      </c>
      <c r="B287">
        <v>4265</v>
      </c>
      <c r="C287" t="s">
        <v>303</v>
      </c>
      <c r="D287" t="s">
        <v>271</v>
      </c>
      <c r="E287">
        <f>_xlfn.XLOOKUP(D287,Regije!B:B,Regije!A:A)</f>
        <v>9</v>
      </c>
    </row>
    <row r="288" spans="1:5">
      <c r="A288">
        <v>360</v>
      </c>
      <c r="B288">
        <v>4267</v>
      </c>
      <c r="C288" t="s">
        <v>304</v>
      </c>
      <c r="D288" t="s">
        <v>271</v>
      </c>
      <c r="E288">
        <f>_xlfn.XLOOKUP(D288,Regije!B:B,Regije!A:A)</f>
        <v>9</v>
      </c>
    </row>
    <row r="289" spans="1:5">
      <c r="A289">
        <v>131</v>
      </c>
      <c r="B289">
        <v>4270</v>
      </c>
      <c r="C289" t="s">
        <v>305</v>
      </c>
      <c r="D289" t="s">
        <v>271</v>
      </c>
      <c r="E289">
        <f>_xlfn.XLOOKUP(D289,Regije!B:B,Regije!A:A)</f>
        <v>9</v>
      </c>
    </row>
    <row r="290" spans="1:5">
      <c r="A290">
        <v>16</v>
      </c>
      <c r="B290">
        <v>4273</v>
      </c>
      <c r="C290" t="s">
        <v>306</v>
      </c>
      <c r="D290" t="s">
        <v>271</v>
      </c>
      <c r="E290">
        <f>_xlfn.XLOOKUP(D290,Regije!B:B,Regije!A:A)</f>
        <v>9</v>
      </c>
    </row>
    <row r="291" spans="1:5">
      <c r="A291">
        <v>477</v>
      </c>
      <c r="B291">
        <v>4274</v>
      </c>
      <c r="C291" t="s">
        <v>307</v>
      </c>
      <c r="D291" t="s">
        <v>271</v>
      </c>
      <c r="E291">
        <f>_xlfn.XLOOKUP(D291,Regije!B:B,Regije!A:A)</f>
        <v>9</v>
      </c>
    </row>
    <row r="292" spans="1:5">
      <c r="A292">
        <v>6</v>
      </c>
      <c r="B292">
        <v>4275</v>
      </c>
      <c r="C292" t="s">
        <v>308</v>
      </c>
      <c r="D292" t="s">
        <v>271</v>
      </c>
      <c r="E292">
        <f>_xlfn.XLOOKUP(D292,Regije!B:B,Regije!A:A)</f>
        <v>9</v>
      </c>
    </row>
    <row r="293" spans="1:5">
      <c r="A293">
        <v>119</v>
      </c>
      <c r="B293">
        <v>4276</v>
      </c>
      <c r="C293" t="s">
        <v>309</v>
      </c>
      <c r="D293" t="s">
        <v>271</v>
      </c>
      <c r="E293">
        <f>_xlfn.XLOOKUP(D293,Regije!B:B,Regije!A:A)</f>
        <v>9</v>
      </c>
    </row>
    <row r="294" spans="1:5">
      <c r="A294">
        <v>167</v>
      </c>
      <c r="B294">
        <v>4280</v>
      </c>
      <c r="C294" t="s">
        <v>310</v>
      </c>
      <c r="D294" t="s">
        <v>271</v>
      </c>
      <c r="E294">
        <f>_xlfn.XLOOKUP(D294,Regije!B:B,Regije!A:A)</f>
        <v>9</v>
      </c>
    </row>
    <row r="295" spans="1:5">
      <c r="A295">
        <v>235</v>
      </c>
      <c r="B295">
        <v>4281</v>
      </c>
      <c r="C295" t="s">
        <v>311</v>
      </c>
      <c r="D295" t="s">
        <v>271</v>
      </c>
      <c r="E295">
        <f>_xlfn.XLOOKUP(D295,Regije!B:B,Regije!A:A)</f>
        <v>9</v>
      </c>
    </row>
    <row r="296" spans="1:5">
      <c r="A296">
        <v>101</v>
      </c>
      <c r="B296">
        <v>4282</v>
      </c>
      <c r="C296" t="s">
        <v>312</v>
      </c>
      <c r="D296" t="s">
        <v>271</v>
      </c>
      <c r="E296">
        <f>_xlfn.XLOOKUP(D296,Regije!B:B,Regije!A:A)</f>
        <v>9</v>
      </c>
    </row>
    <row r="297" spans="1:5">
      <c r="A297">
        <v>320</v>
      </c>
      <c r="B297">
        <v>4283</v>
      </c>
      <c r="C297" t="s">
        <v>313</v>
      </c>
      <c r="D297" t="s">
        <v>271</v>
      </c>
      <c r="E297">
        <f>_xlfn.XLOOKUP(D297,Regije!B:B,Regije!A:A)</f>
        <v>9</v>
      </c>
    </row>
    <row r="298" spans="1:5">
      <c r="A298">
        <v>425</v>
      </c>
      <c r="B298">
        <v>4290</v>
      </c>
      <c r="C298" t="s">
        <v>314</v>
      </c>
      <c r="D298" t="s">
        <v>271</v>
      </c>
      <c r="E298">
        <f>_xlfn.XLOOKUP(D298,Regije!B:B,Regije!A:A)</f>
        <v>9</v>
      </c>
    </row>
    <row r="299" spans="1:5">
      <c r="A299">
        <v>169</v>
      </c>
      <c r="B299">
        <v>4294</v>
      </c>
      <c r="C299" t="s">
        <v>315</v>
      </c>
      <c r="D299" t="s">
        <v>271</v>
      </c>
      <c r="E299">
        <f>_xlfn.XLOOKUP(D299,Regije!B:B,Regije!A:A)</f>
        <v>9</v>
      </c>
    </row>
    <row r="300" spans="1:5">
      <c r="A300">
        <v>249</v>
      </c>
      <c r="B300">
        <v>5000</v>
      </c>
      <c r="C300" t="s">
        <v>316</v>
      </c>
      <c r="D300" t="s">
        <v>317</v>
      </c>
      <c r="E300">
        <f>_xlfn.XLOOKUP(D300,Regije!B:B,Regije!A:A)</f>
        <v>11</v>
      </c>
    </row>
    <row r="301" spans="1:5">
      <c r="A301">
        <v>250</v>
      </c>
      <c r="B301">
        <v>5001</v>
      </c>
      <c r="C301" t="s">
        <v>318</v>
      </c>
      <c r="D301" t="s">
        <v>317</v>
      </c>
      <c r="E301">
        <f>_xlfn.XLOOKUP(D301,Regije!B:B,Regije!A:A)</f>
        <v>11</v>
      </c>
    </row>
    <row r="302" spans="1:5">
      <c r="A302">
        <v>59</v>
      </c>
      <c r="B302">
        <v>5210</v>
      </c>
      <c r="C302" t="s">
        <v>319</v>
      </c>
      <c r="D302" t="s">
        <v>317</v>
      </c>
      <c r="E302">
        <f>_xlfn.XLOOKUP(D302,Regije!B:B,Regije!A:A)</f>
        <v>11</v>
      </c>
    </row>
    <row r="303" spans="1:5">
      <c r="A303">
        <v>152</v>
      </c>
      <c r="B303">
        <v>5211</v>
      </c>
      <c r="C303" t="s">
        <v>320</v>
      </c>
      <c r="D303" t="s">
        <v>317</v>
      </c>
      <c r="E303">
        <f>_xlfn.XLOOKUP(D303,Regije!B:B,Regije!A:A)</f>
        <v>11</v>
      </c>
    </row>
    <row r="304" spans="1:5">
      <c r="A304">
        <v>71</v>
      </c>
      <c r="B304">
        <v>5212</v>
      </c>
      <c r="C304" t="s">
        <v>321</v>
      </c>
      <c r="D304" t="s">
        <v>317</v>
      </c>
      <c r="E304">
        <f>_xlfn.XLOOKUP(D304,Regije!B:B,Regije!A:A)</f>
        <v>11</v>
      </c>
    </row>
    <row r="305" spans="1:5">
      <c r="A305">
        <v>141</v>
      </c>
      <c r="B305">
        <v>5213</v>
      </c>
      <c r="C305" t="s">
        <v>322</v>
      </c>
      <c r="D305" t="s">
        <v>317</v>
      </c>
      <c r="E305">
        <f>_xlfn.XLOOKUP(D305,Regije!B:B,Regije!A:A)</f>
        <v>11</v>
      </c>
    </row>
    <row r="306" spans="1:5">
      <c r="A306">
        <v>136</v>
      </c>
      <c r="B306">
        <v>5214</v>
      </c>
      <c r="C306" t="s">
        <v>323</v>
      </c>
      <c r="D306" t="s">
        <v>317</v>
      </c>
      <c r="E306">
        <f>_xlfn.XLOOKUP(D306,Regije!B:B,Regije!A:A)</f>
        <v>11</v>
      </c>
    </row>
    <row r="307" spans="1:5">
      <c r="A307">
        <v>329</v>
      </c>
      <c r="B307">
        <v>5215</v>
      </c>
      <c r="C307" t="s">
        <v>324</v>
      </c>
      <c r="D307" t="s">
        <v>317</v>
      </c>
      <c r="E307">
        <f>_xlfn.XLOOKUP(D307,Regije!B:B,Regije!A:A)</f>
        <v>11</v>
      </c>
    </row>
    <row r="308" spans="1:5">
      <c r="A308">
        <v>239</v>
      </c>
      <c r="B308">
        <v>5216</v>
      </c>
      <c r="C308" t="s">
        <v>325</v>
      </c>
      <c r="D308" t="s">
        <v>317</v>
      </c>
      <c r="E308">
        <f>_xlfn.XLOOKUP(D308,Regije!B:B,Regije!A:A)</f>
        <v>11</v>
      </c>
    </row>
    <row r="309" spans="1:5">
      <c r="A309">
        <v>415</v>
      </c>
      <c r="B309">
        <v>5220</v>
      </c>
      <c r="C309" t="s">
        <v>326</v>
      </c>
      <c r="D309" t="s">
        <v>317</v>
      </c>
      <c r="E309">
        <f>_xlfn.XLOOKUP(D309,Regije!B:B,Regije!A:A)</f>
        <v>11</v>
      </c>
    </row>
    <row r="310" spans="1:5">
      <c r="A310">
        <v>147</v>
      </c>
      <c r="B310">
        <v>5222</v>
      </c>
      <c r="C310" t="s">
        <v>327</v>
      </c>
      <c r="D310" t="s">
        <v>317</v>
      </c>
      <c r="E310">
        <f>_xlfn.XLOOKUP(D310,Regije!B:B,Regije!A:A)</f>
        <v>11</v>
      </c>
    </row>
    <row r="311" spans="1:5">
      <c r="A311">
        <v>27</v>
      </c>
      <c r="B311">
        <v>5223</v>
      </c>
      <c r="C311" t="s">
        <v>328</v>
      </c>
      <c r="D311" t="s">
        <v>317</v>
      </c>
      <c r="E311">
        <f>_xlfn.XLOOKUP(D311,Regije!B:B,Regije!A:A)</f>
        <v>11</v>
      </c>
    </row>
    <row r="312" spans="1:5">
      <c r="A312">
        <v>362</v>
      </c>
      <c r="B312">
        <v>5224</v>
      </c>
      <c r="C312" t="s">
        <v>329</v>
      </c>
      <c r="D312" t="s">
        <v>317</v>
      </c>
      <c r="E312">
        <f>_xlfn.XLOOKUP(D312,Regije!B:B,Regije!A:A)</f>
        <v>11</v>
      </c>
    </row>
    <row r="313" spans="1:5">
      <c r="A313">
        <v>24</v>
      </c>
      <c r="B313">
        <v>5230</v>
      </c>
      <c r="C313" t="s">
        <v>330</v>
      </c>
      <c r="D313" t="s">
        <v>317</v>
      </c>
      <c r="E313">
        <f>_xlfn.XLOOKUP(D313,Regije!B:B,Regije!A:A)</f>
        <v>11</v>
      </c>
    </row>
    <row r="314" spans="1:5">
      <c r="A314">
        <v>201</v>
      </c>
      <c r="B314">
        <v>5231</v>
      </c>
      <c r="C314" t="s">
        <v>331</v>
      </c>
      <c r="D314" t="s">
        <v>317</v>
      </c>
      <c r="E314">
        <f>_xlfn.XLOOKUP(D314,Regije!B:B,Regije!A:A)</f>
        <v>11</v>
      </c>
    </row>
    <row r="315" spans="1:5">
      <c r="A315">
        <v>350</v>
      </c>
      <c r="B315">
        <v>5232</v>
      </c>
      <c r="C315" t="s">
        <v>332</v>
      </c>
      <c r="D315" t="s">
        <v>317</v>
      </c>
      <c r="E315">
        <f>_xlfn.XLOOKUP(D315,Regije!B:B,Regije!A:A)</f>
        <v>11</v>
      </c>
    </row>
    <row r="316" spans="1:5">
      <c r="A316">
        <v>106</v>
      </c>
      <c r="B316">
        <v>5242</v>
      </c>
      <c r="C316" t="s">
        <v>333</v>
      </c>
      <c r="D316" t="s">
        <v>317</v>
      </c>
      <c r="E316">
        <f>_xlfn.XLOOKUP(D316,Regije!B:B,Regije!A:A)</f>
        <v>11</v>
      </c>
    </row>
    <row r="317" spans="1:5">
      <c r="A317">
        <v>274</v>
      </c>
      <c r="B317">
        <v>5243</v>
      </c>
      <c r="C317" t="s">
        <v>334</v>
      </c>
      <c r="D317" t="s">
        <v>317</v>
      </c>
      <c r="E317">
        <f>_xlfn.XLOOKUP(D317,Regije!B:B,Regije!A:A)</f>
        <v>11</v>
      </c>
    </row>
    <row r="318" spans="1:5">
      <c r="A318">
        <v>353</v>
      </c>
      <c r="B318">
        <v>5250</v>
      </c>
      <c r="C318" t="s">
        <v>335</v>
      </c>
      <c r="D318" t="s">
        <v>317</v>
      </c>
      <c r="E318">
        <f>_xlfn.XLOOKUP(D318,Regije!B:B,Regije!A:A)</f>
        <v>11</v>
      </c>
    </row>
    <row r="319" spans="1:5">
      <c r="A319">
        <v>107</v>
      </c>
      <c r="B319">
        <v>5251</v>
      </c>
      <c r="C319" t="s">
        <v>336</v>
      </c>
      <c r="D319" t="s">
        <v>317</v>
      </c>
      <c r="E319">
        <f>_xlfn.XLOOKUP(D319,Regije!B:B,Regije!A:A)</f>
        <v>11</v>
      </c>
    </row>
    <row r="320" spans="1:5">
      <c r="A320">
        <v>421</v>
      </c>
      <c r="B320">
        <v>5252</v>
      </c>
      <c r="C320" t="s">
        <v>337</v>
      </c>
      <c r="D320" t="s">
        <v>317</v>
      </c>
      <c r="E320">
        <f>_xlfn.XLOOKUP(D320,Regije!B:B,Regije!A:A)</f>
        <v>11</v>
      </c>
    </row>
    <row r="321" spans="1:5">
      <c r="A321">
        <v>51</v>
      </c>
      <c r="B321">
        <v>5253</v>
      </c>
      <c r="C321" t="s">
        <v>338</v>
      </c>
      <c r="D321" t="s">
        <v>317</v>
      </c>
      <c r="E321">
        <f>_xlfn.XLOOKUP(D321,Regije!B:B,Regije!A:A)</f>
        <v>11</v>
      </c>
    </row>
    <row r="322" spans="1:5">
      <c r="A322">
        <v>382</v>
      </c>
      <c r="B322">
        <v>5261</v>
      </c>
      <c r="C322" t="s">
        <v>339</v>
      </c>
      <c r="D322" t="s">
        <v>317</v>
      </c>
      <c r="E322">
        <f>_xlfn.XLOOKUP(D322,Regije!B:B,Regije!A:A)</f>
        <v>11</v>
      </c>
    </row>
    <row r="323" spans="1:5">
      <c r="A323">
        <v>56</v>
      </c>
      <c r="B323">
        <v>5262</v>
      </c>
      <c r="C323" t="s">
        <v>340</v>
      </c>
      <c r="D323" t="s">
        <v>317</v>
      </c>
      <c r="E323">
        <f>_xlfn.XLOOKUP(D323,Regije!B:B,Regije!A:A)</f>
        <v>11</v>
      </c>
    </row>
    <row r="324" spans="1:5">
      <c r="A324">
        <v>66</v>
      </c>
      <c r="B324">
        <v>5263</v>
      </c>
      <c r="C324" t="s">
        <v>341</v>
      </c>
      <c r="D324" t="s">
        <v>317</v>
      </c>
      <c r="E324">
        <f>_xlfn.XLOOKUP(D324,Regije!B:B,Regije!A:A)</f>
        <v>11</v>
      </c>
    </row>
    <row r="325" spans="1:5">
      <c r="A325">
        <v>2</v>
      </c>
      <c r="B325">
        <v>5270</v>
      </c>
      <c r="C325" t="s">
        <v>342</v>
      </c>
      <c r="D325" t="s">
        <v>317</v>
      </c>
      <c r="E325">
        <f>_xlfn.XLOOKUP(D325,Regije!B:B,Regije!A:A)</f>
        <v>11</v>
      </c>
    </row>
    <row r="326" spans="1:5">
      <c r="A326">
        <v>442</v>
      </c>
      <c r="B326">
        <v>5271</v>
      </c>
      <c r="C326" t="s">
        <v>343</v>
      </c>
      <c r="D326" t="s">
        <v>317</v>
      </c>
      <c r="E326">
        <f>_xlfn.XLOOKUP(D326,Regije!B:B,Regije!A:A)</f>
        <v>11</v>
      </c>
    </row>
    <row r="327" spans="1:5">
      <c r="A327">
        <v>282</v>
      </c>
      <c r="B327">
        <v>5272</v>
      </c>
      <c r="C327" t="s">
        <v>344</v>
      </c>
      <c r="D327" t="s">
        <v>317</v>
      </c>
      <c r="E327">
        <f>_xlfn.XLOOKUP(D327,Regije!B:B,Regije!A:A)</f>
        <v>11</v>
      </c>
    </row>
    <row r="328" spans="1:5">
      <c r="A328">
        <v>48</v>
      </c>
      <c r="B328">
        <v>5273</v>
      </c>
      <c r="C328" t="s">
        <v>345</v>
      </c>
      <c r="D328" t="s">
        <v>317</v>
      </c>
      <c r="E328">
        <f>_xlfn.XLOOKUP(D328,Regije!B:B,Regije!A:A)</f>
        <v>11</v>
      </c>
    </row>
    <row r="329" spans="1:5">
      <c r="A329">
        <v>55</v>
      </c>
      <c r="B329">
        <v>5274</v>
      </c>
      <c r="C329" t="s">
        <v>346</v>
      </c>
      <c r="D329" t="s">
        <v>317</v>
      </c>
      <c r="E329">
        <f>_xlfn.XLOOKUP(D329,Regije!B:B,Regije!A:A)</f>
        <v>11</v>
      </c>
    </row>
    <row r="330" spans="1:5">
      <c r="A330">
        <v>93</v>
      </c>
      <c r="B330">
        <v>5275</v>
      </c>
      <c r="C330" t="s">
        <v>347</v>
      </c>
      <c r="D330" t="s">
        <v>317</v>
      </c>
      <c r="E330">
        <f>_xlfn.XLOOKUP(D330,Regije!B:B,Regije!A:A)</f>
        <v>11</v>
      </c>
    </row>
    <row r="331" spans="1:5">
      <c r="A331">
        <v>120</v>
      </c>
      <c r="B331">
        <v>5280</v>
      </c>
      <c r="C331" t="s">
        <v>348</v>
      </c>
      <c r="D331" t="s">
        <v>317</v>
      </c>
      <c r="E331">
        <f>_xlfn.XLOOKUP(D331,Regije!B:B,Regije!A:A)</f>
        <v>11</v>
      </c>
    </row>
    <row r="332" spans="1:5">
      <c r="A332">
        <v>356</v>
      </c>
      <c r="B332">
        <v>5281</v>
      </c>
      <c r="C332" t="s">
        <v>349</v>
      </c>
      <c r="D332" t="s">
        <v>317</v>
      </c>
      <c r="E332">
        <f>_xlfn.XLOOKUP(D332,Regije!B:B,Regije!A:A)</f>
        <v>11</v>
      </c>
    </row>
    <row r="333" spans="1:5">
      <c r="A333">
        <v>43</v>
      </c>
      <c r="B333">
        <v>5282</v>
      </c>
      <c r="C333" t="s">
        <v>350</v>
      </c>
      <c r="D333" t="s">
        <v>317</v>
      </c>
      <c r="E333">
        <f>_xlfn.XLOOKUP(D333,Regije!B:B,Regije!A:A)</f>
        <v>11</v>
      </c>
    </row>
    <row r="334" spans="1:5">
      <c r="A334">
        <v>345</v>
      </c>
      <c r="B334">
        <v>5283</v>
      </c>
      <c r="C334" t="s">
        <v>351</v>
      </c>
      <c r="D334" t="s">
        <v>317</v>
      </c>
      <c r="E334">
        <f>_xlfn.XLOOKUP(D334,Regije!B:B,Regije!A:A)</f>
        <v>11</v>
      </c>
    </row>
    <row r="335" spans="1:5">
      <c r="A335">
        <v>383</v>
      </c>
      <c r="B335">
        <v>5290</v>
      </c>
      <c r="C335" t="s">
        <v>352</v>
      </c>
      <c r="D335" t="s">
        <v>317</v>
      </c>
      <c r="E335">
        <f>_xlfn.XLOOKUP(D335,Regije!B:B,Regije!A:A)</f>
        <v>11</v>
      </c>
    </row>
    <row r="336" spans="1:5">
      <c r="A336">
        <v>231</v>
      </c>
      <c r="B336">
        <v>5291</v>
      </c>
      <c r="C336" t="s">
        <v>353</v>
      </c>
      <c r="D336" t="s">
        <v>317</v>
      </c>
      <c r="E336">
        <f>_xlfn.XLOOKUP(D336,Regije!B:B,Regije!A:A)</f>
        <v>11</v>
      </c>
    </row>
    <row r="337" spans="1:5">
      <c r="A337">
        <v>324</v>
      </c>
      <c r="B337">
        <v>5292</v>
      </c>
      <c r="C337" t="s">
        <v>354</v>
      </c>
      <c r="D337" t="s">
        <v>317</v>
      </c>
      <c r="E337">
        <f>_xlfn.XLOOKUP(D337,Regije!B:B,Regije!A:A)</f>
        <v>11</v>
      </c>
    </row>
    <row r="338" spans="1:5">
      <c r="A338">
        <v>449</v>
      </c>
      <c r="B338">
        <v>5293</v>
      </c>
      <c r="C338" t="s">
        <v>355</v>
      </c>
      <c r="D338" t="s">
        <v>317</v>
      </c>
      <c r="E338">
        <f>_xlfn.XLOOKUP(D338,Regije!B:B,Regije!A:A)</f>
        <v>11</v>
      </c>
    </row>
    <row r="339" spans="1:5">
      <c r="A339">
        <v>79</v>
      </c>
      <c r="B339">
        <v>5294</v>
      </c>
      <c r="C339" t="s">
        <v>356</v>
      </c>
      <c r="D339" t="s">
        <v>317</v>
      </c>
      <c r="E339">
        <f>_xlfn.XLOOKUP(D339,Regije!B:B,Regije!A:A)</f>
        <v>11</v>
      </c>
    </row>
    <row r="340" spans="1:5">
      <c r="A340">
        <v>25</v>
      </c>
      <c r="B340">
        <v>5295</v>
      </c>
      <c r="C340" t="s">
        <v>357</v>
      </c>
      <c r="D340" t="s">
        <v>317</v>
      </c>
      <c r="E340">
        <f>_xlfn.XLOOKUP(D340,Regije!B:B,Regije!A:A)</f>
        <v>11</v>
      </c>
    </row>
    <row r="341" spans="1:5">
      <c r="A341">
        <v>158</v>
      </c>
      <c r="B341">
        <v>5296</v>
      </c>
      <c r="C341" t="s">
        <v>358</v>
      </c>
      <c r="D341" t="s">
        <v>317</v>
      </c>
      <c r="E341">
        <f>_xlfn.XLOOKUP(D341,Regije!B:B,Regije!A:A)</f>
        <v>11</v>
      </c>
    </row>
    <row r="342" spans="1:5">
      <c r="A342">
        <v>308</v>
      </c>
      <c r="B342">
        <v>5297</v>
      </c>
      <c r="C342" t="s">
        <v>359</v>
      </c>
      <c r="D342" t="s">
        <v>317</v>
      </c>
      <c r="E342">
        <f>_xlfn.XLOOKUP(D342,Regije!B:B,Regije!A:A)</f>
        <v>11</v>
      </c>
    </row>
    <row r="343" spans="1:5">
      <c r="A343">
        <v>155</v>
      </c>
      <c r="B343">
        <v>6000</v>
      </c>
      <c r="C343" t="s">
        <v>360</v>
      </c>
      <c r="D343" t="s">
        <v>361</v>
      </c>
      <c r="E343">
        <f>_xlfn.XLOOKUP(D343,Regije!B:B,Regije!A:A)</f>
        <v>12</v>
      </c>
    </row>
    <row r="344" spans="1:5">
      <c r="A344">
        <v>156</v>
      </c>
      <c r="B344">
        <v>6001</v>
      </c>
      <c r="C344" t="s">
        <v>362</v>
      </c>
      <c r="D344" t="s">
        <v>361</v>
      </c>
      <c r="E344">
        <f>_xlfn.XLOOKUP(D344,Regije!B:B,Regije!A:A)</f>
        <v>12</v>
      </c>
    </row>
    <row r="345" spans="1:5">
      <c r="A345">
        <v>343</v>
      </c>
      <c r="B345">
        <v>6210</v>
      </c>
      <c r="C345" t="s">
        <v>363</v>
      </c>
      <c r="D345" t="s">
        <v>361</v>
      </c>
      <c r="E345">
        <f>_xlfn.XLOOKUP(D345,Regije!B:B,Regije!A:A)</f>
        <v>12</v>
      </c>
    </row>
    <row r="346" spans="1:5">
      <c r="A346">
        <v>61</v>
      </c>
      <c r="B346">
        <v>6215</v>
      </c>
      <c r="C346" t="s">
        <v>364</v>
      </c>
      <c r="D346" t="s">
        <v>361</v>
      </c>
      <c r="E346">
        <f>_xlfn.XLOOKUP(D346,Regije!B:B,Regije!A:A)</f>
        <v>12</v>
      </c>
    </row>
    <row r="347" spans="1:5">
      <c r="A347">
        <v>277</v>
      </c>
      <c r="B347">
        <v>6216</v>
      </c>
      <c r="C347" t="s">
        <v>365</v>
      </c>
      <c r="D347" t="s">
        <v>361</v>
      </c>
      <c r="E347">
        <f>_xlfn.XLOOKUP(D347,Regije!B:B,Regije!A:A)</f>
        <v>12</v>
      </c>
    </row>
    <row r="348" spans="1:5">
      <c r="A348">
        <v>452</v>
      </c>
      <c r="B348">
        <v>6217</v>
      </c>
      <c r="C348" t="s">
        <v>366</v>
      </c>
      <c r="D348" t="s">
        <v>361</v>
      </c>
      <c r="E348">
        <f>_xlfn.XLOOKUP(D348,Regije!B:B,Regije!A:A)</f>
        <v>12</v>
      </c>
    </row>
    <row r="349" spans="1:5">
      <c r="A349">
        <v>206</v>
      </c>
      <c r="B349">
        <v>6219</v>
      </c>
      <c r="C349" t="s">
        <v>367</v>
      </c>
      <c r="D349" t="s">
        <v>361</v>
      </c>
      <c r="E349">
        <f>_xlfn.XLOOKUP(D349,Regije!B:B,Regije!A:A)</f>
        <v>12</v>
      </c>
    </row>
    <row r="350" spans="1:5">
      <c r="A350">
        <v>85</v>
      </c>
      <c r="B350">
        <v>6221</v>
      </c>
      <c r="C350" t="s">
        <v>368</v>
      </c>
      <c r="D350" t="s">
        <v>361</v>
      </c>
      <c r="E350">
        <f>_xlfn.XLOOKUP(D350,Regije!B:B,Regije!A:A)</f>
        <v>12</v>
      </c>
    </row>
    <row r="351" spans="1:5">
      <c r="A351">
        <v>410</v>
      </c>
      <c r="B351">
        <v>6222</v>
      </c>
      <c r="C351" t="s">
        <v>369</v>
      </c>
      <c r="D351" t="s">
        <v>361</v>
      </c>
      <c r="E351">
        <f>_xlfn.XLOOKUP(D351,Regije!B:B,Regije!A:A)</f>
        <v>12</v>
      </c>
    </row>
    <row r="352" spans="1:5">
      <c r="A352">
        <v>153</v>
      </c>
      <c r="B352">
        <v>6223</v>
      </c>
      <c r="C352" t="s">
        <v>370</v>
      </c>
      <c r="D352" t="s">
        <v>361</v>
      </c>
      <c r="E352">
        <f>_xlfn.XLOOKUP(D352,Regije!B:B,Regije!A:A)</f>
        <v>12</v>
      </c>
    </row>
    <row r="353" spans="1:5">
      <c r="A353">
        <v>341</v>
      </c>
      <c r="B353">
        <v>6224</v>
      </c>
      <c r="C353" t="s">
        <v>371</v>
      </c>
      <c r="D353" t="s">
        <v>361</v>
      </c>
      <c r="E353">
        <f>_xlfn.XLOOKUP(D353,Regije!B:B,Regije!A:A)</f>
        <v>12</v>
      </c>
    </row>
    <row r="354" spans="1:5">
      <c r="A354">
        <v>118</v>
      </c>
      <c r="B354">
        <v>6225</v>
      </c>
      <c r="C354" t="s">
        <v>372</v>
      </c>
      <c r="D354" t="s">
        <v>86</v>
      </c>
      <c r="E354">
        <f>_xlfn.XLOOKUP(D354,Regije!B:B,Regije!A:A)</f>
        <v>10</v>
      </c>
    </row>
    <row r="355" spans="1:5">
      <c r="A355">
        <v>296</v>
      </c>
      <c r="B355">
        <v>6230</v>
      </c>
      <c r="C355" t="s">
        <v>373</v>
      </c>
      <c r="D355" t="s">
        <v>86</v>
      </c>
      <c r="E355">
        <f>_xlfn.XLOOKUP(D355,Regije!B:B,Regije!A:A)</f>
        <v>10</v>
      </c>
    </row>
    <row r="356" spans="1:5">
      <c r="A356">
        <v>270</v>
      </c>
      <c r="B356">
        <v>6232</v>
      </c>
      <c r="C356" t="s">
        <v>374</v>
      </c>
      <c r="D356" t="s">
        <v>86</v>
      </c>
      <c r="E356">
        <f>_xlfn.XLOOKUP(D356,Regije!B:B,Regije!A:A)</f>
        <v>10</v>
      </c>
    </row>
    <row r="357" spans="1:5">
      <c r="A357">
        <v>163</v>
      </c>
      <c r="B357">
        <v>6240</v>
      </c>
      <c r="C357" t="s">
        <v>375</v>
      </c>
      <c r="D357" t="s">
        <v>361</v>
      </c>
      <c r="E357">
        <f>_xlfn.XLOOKUP(D357,Regije!B:B,Regije!A:A)</f>
        <v>12</v>
      </c>
    </row>
    <row r="358" spans="1:5">
      <c r="A358">
        <v>223</v>
      </c>
      <c r="B358">
        <v>6242</v>
      </c>
      <c r="C358" t="s">
        <v>376</v>
      </c>
      <c r="D358" t="s">
        <v>361</v>
      </c>
      <c r="E358">
        <f>_xlfn.XLOOKUP(D358,Regije!B:B,Regije!A:A)</f>
        <v>12</v>
      </c>
    </row>
    <row r="359" spans="1:5">
      <c r="A359">
        <v>254</v>
      </c>
      <c r="B359">
        <v>6243</v>
      </c>
      <c r="C359" t="s">
        <v>377</v>
      </c>
      <c r="D359" t="s">
        <v>361</v>
      </c>
      <c r="E359">
        <f>_xlfn.XLOOKUP(D359,Regije!B:B,Regije!A:A)</f>
        <v>12</v>
      </c>
    </row>
    <row r="360" spans="1:5">
      <c r="A360">
        <v>279</v>
      </c>
      <c r="B360">
        <v>6244</v>
      </c>
      <c r="C360" t="s">
        <v>378</v>
      </c>
      <c r="D360" t="s">
        <v>361</v>
      </c>
      <c r="E360">
        <f>_xlfn.XLOOKUP(D360,Regije!B:B,Regije!A:A)</f>
        <v>12</v>
      </c>
    </row>
    <row r="361" spans="1:5">
      <c r="A361">
        <v>122</v>
      </c>
      <c r="B361">
        <v>6250</v>
      </c>
      <c r="C361" t="s">
        <v>379</v>
      </c>
      <c r="D361" t="s">
        <v>86</v>
      </c>
      <c r="E361">
        <f>_xlfn.XLOOKUP(D361,Regije!B:B,Regije!A:A)</f>
        <v>10</v>
      </c>
    </row>
    <row r="362" spans="1:5">
      <c r="A362">
        <v>123</v>
      </c>
      <c r="B362">
        <v>6251</v>
      </c>
      <c r="C362" t="s">
        <v>380</v>
      </c>
      <c r="D362" t="s">
        <v>86</v>
      </c>
      <c r="E362">
        <f>_xlfn.XLOOKUP(D362,Regije!B:B,Regije!A:A)</f>
        <v>10</v>
      </c>
    </row>
    <row r="363" spans="1:5">
      <c r="A363">
        <v>146</v>
      </c>
      <c r="B363">
        <v>6253</v>
      </c>
      <c r="C363" t="s">
        <v>381</v>
      </c>
      <c r="D363" t="s">
        <v>86</v>
      </c>
      <c r="E363">
        <f>_xlfn.XLOOKUP(D363,Regije!B:B,Regije!A:A)</f>
        <v>10</v>
      </c>
    </row>
    <row r="364" spans="1:5">
      <c r="A364">
        <v>130</v>
      </c>
      <c r="B364">
        <v>6254</v>
      </c>
      <c r="C364" t="s">
        <v>382</v>
      </c>
      <c r="D364" t="s">
        <v>86</v>
      </c>
      <c r="E364">
        <f>_xlfn.XLOOKUP(D364,Regije!B:B,Regije!A:A)</f>
        <v>10</v>
      </c>
    </row>
    <row r="365" spans="1:5">
      <c r="A365">
        <v>300</v>
      </c>
      <c r="B365">
        <v>6255</v>
      </c>
      <c r="C365" t="s">
        <v>383</v>
      </c>
      <c r="D365" t="s">
        <v>86</v>
      </c>
      <c r="E365">
        <f>_xlfn.XLOOKUP(D365,Regije!B:B,Regije!A:A)</f>
        <v>10</v>
      </c>
    </row>
    <row r="366" spans="1:5">
      <c r="A366">
        <v>161</v>
      </c>
      <c r="B366">
        <v>6256</v>
      </c>
      <c r="C366" t="s">
        <v>384</v>
      </c>
      <c r="D366" t="s">
        <v>86</v>
      </c>
      <c r="E366">
        <f>_xlfn.XLOOKUP(D366,Regije!B:B,Regije!A:A)</f>
        <v>10</v>
      </c>
    </row>
    <row r="367" spans="1:5">
      <c r="A367">
        <v>269</v>
      </c>
      <c r="B367">
        <v>6257</v>
      </c>
      <c r="C367" t="s">
        <v>385</v>
      </c>
      <c r="D367" t="s">
        <v>86</v>
      </c>
      <c r="E367">
        <f>_xlfn.XLOOKUP(D367,Regije!B:B,Regije!A:A)</f>
        <v>10</v>
      </c>
    </row>
    <row r="368" spans="1:5">
      <c r="A368">
        <v>302</v>
      </c>
      <c r="B368">
        <v>6258</v>
      </c>
      <c r="C368" t="s">
        <v>386</v>
      </c>
      <c r="D368" t="s">
        <v>86</v>
      </c>
      <c r="E368">
        <f>_xlfn.XLOOKUP(D368,Regije!B:B,Regije!A:A)</f>
        <v>10</v>
      </c>
    </row>
    <row r="369" spans="1:5">
      <c r="A369">
        <v>58</v>
      </c>
      <c r="B369">
        <v>6271</v>
      </c>
      <c r="C369" t="s">
        <v>387</v>
      </c>
      <c r="D369" t="s">
        <v>361</v>
      </c>
      <c r="E369">
        <f>_xlfn.XLOOKUP(D369,Regije!B:B,Regije!A:A)</f>
        <v>12</v>
      </c>
    </row>
    <row r="370" spans="1:5">
      <c r="A370">
        <v>102</v>
      </c>
      <c r="B370">
        <v>6272</v>
      </c>
      <c r="C370" t="s">
        <v>388</v>
      </c>
      <c r="D370" t="s">
        <v>361</v>
      </c>
      <c r="E370">
        <f>_xlfn.XLOOKUP(D370,Regije!B:B,Regije!A:A)</f>
        <v>12</v>
      </c>
    </row>
    <row r="371" spans="1:5">
      <c r="A371">
        <v>217</v>
      </c>
      <c r="B371">
        <v>6273</v>
      </c>
      <c r="C371" t="s">
        <v>389</v>
      </c>
      <c r="D371" t="s">
        <v>361</v>
      </c>
      <c r="E371">
        <f>_xlfn.XLOOKUP(D371,Regije!B:B,Regije!A:A)</f>
        <v>12</v>
      </c>
    </row>
    <row r="372" spans="1:5">
      <c r="A372">
        <v>399</v>
      </c>
      <c r="B372">
        <v>6274</v>
      </c>
      <c r="C372" t="s">
        <v>390</v>
      </c>
      <c r="D372" t="s">
        <v>361</v>
      </c>
      <c r="E372">
        <f>_xlfn.XLOOKUP(D372,Regije!B:B,Regije!A:A)</f>
        <v>12</v>
      </c>
    </row>
    <row r="373" spans="1:5">
      <c r="A373">
        <v>54</v>
      </c>
      <c r="B373">
        <v>6275</v>
      </c>
      <c r="C373" t="s">
        <v>391</v>
      </c>
      <c r="D373" t="s">
        <v>361</v>
      </c>
      <c r="E373">
        <f>_xlfn.XLOOKUP(D373,Regije!B:B,Regije!A:A)</f>
        <v>12</v>
      </c>
    </row>
    <row r="374" spans="1:5">
      <c r="A374">
        <v>272</v>
      </c>
      <c r="B374">
        <v>6276</v>
      </c>
      <c r="C374" t="s">
        <v>392</v>
      </c>
      <c r="D374" t="s">
        <v>361</v>
      </c>
      <c r="E374">
        <f>_xlfn.XLOOKUP(D374,Regije!B:B,Regije!A:A)</f>
        <v>12</v>
      </c>
    </row>
    <row r="375" spans="1:5">
      <c r="A375">
        <v>3</v>
      </c>
      <c r="B375">
        <v>6280</v>
      </c>
      <c r="C375" t="s">
        <v>393</v>
      </c>
      <c r="D375" t="s">
        <v>361</v>
      </c>
      <c r="E375">
        <f>_xlfn.XLOOKUP(D375,Regije!B:B,Regije!A:A)</f>
        <v>12</v>
      </c>
    </row>
    <row r="376" spans="1:5">
      <c r="A376">
        <v>395</v>
      </c>
      <c r="B376">
        <v>6281</v>
      </c>
      <c r="C376" t="s">
        <v>394</v>
      </c>
      <c r="D376" t="s">
        <v>361</v>
      </c>
      <c r="E376">
        <f>_xlfn.XLOOKUP(D376,Regije!B:B,Regije!A:A)</f>
        <v>12</v>
      </c>
    </row>
    <row r="377" spans="1:5">
      <c r="A377">
        <v>127</v>
      </c>
      <c r="B377">
        <v>6310</v>
      </c>
      <c r="C377" t="s">
        <v>395</v>
      </c>
      <c r="D377" t="s">
        <v>361</v>
      </c>
      <c r="E377">
        <f>_xlfn.XLOOKUP(D377,Regije!B:B,Regije!A:A)</f>
        <v>12</v>
      </c>
    </row>
    <row r="378" spans="1:5">
      <c r="A378">
        <v>295</v>
      </c>
      <c r="B378">
        <v>6320</v>
      </c>
      <c r="C378" t="s">
        <v>396</v>
      </c>
      <c r="D378" t="s">
        <v>361</v>
      </c>
      <c r="E378">
        <f>_xlfn.XLOOKUP(D378,Regije!B:B,Regije!A:A)</f>
        <v>12</v>
      </c>
    </row>
    <row r="379" spans="1:5">
      <c r="A379">
        <v>267</v>
      </c>
      <c r="B379">
        <v>6330</v>
      </c>
      <c r="C379" t="s">
        <v>397</v>
      </c>
      <c r="D379" t="s">
        <v>361</v>
      </c>
      <c r="E379">
        <f>_xlfn.XLOOKUP(D379,Regije!B:B,Regije!A:A)</f>
        <v>12</v>
      </c>
    </row>
    <row r="380" spans="1:5">
      <c r="A380">
        <v>336</v>
      </c>
      <c r="B380">
        <v>6333</v>
      </c>
      <c r="C380" t="s">
        <v>398</v>
      </c>
      <c r="D380" t="s">
        <v>361</v>
      </c>
      <c r="E380">
        <f>_xlfn.XLOOKUP(D380,Regije!B:B,Regije!A:A)</f>
        <v>12</v>
      </c>
    </row>
    <row r="381" spans="1:5">
      <c r="A381">
        <v>252</v>
      </c>
      <c r="B381">
        <v>8000</v>
      </c>
      <c r="C381" t="s">
        <v>399</v>
      </c>
      <c r="D381" t="s">
        <v>57</v>
      </c>
      <c r="E381">
        <f>_xlfn.XLOOKUP(D381,Regije!B:B,Regije!A:A)</f>
        <v>7</v>
      </c>
    </row>
    <row r="382" spans="1:5">
      <c r="A382">
        <v>253</v>
      </c>
      <c r="B382">
        <v>8001</v>
      </c>
      <c r="C382" t="s">
        <v>400</v>
      </c>
      <c r="D382" t="s">
        <v>57</v>
      </c>
      <c r="E382">
        <f>_xlfn.XLOOKUP(D382,Regije!B:B,Regije!A:A)</f>
        <v>7</v>
      </c>
    </row>
    <row r="383" spans="1:5">
      <c r="A383">
        <v>420</v>
      </c>
      <c r="B383">
        <v>8210</v>
      </c>
      <c r="C383" t="s">
        <v>401</v>
      </c>
      <c r="D383" t="s">
        <v>57</v>
      </c>
      <c r="E383">
        <f>_xlfn.XLOOKUP(D383,Regije!B:B,Regije!A:A)</f>
        <v>7</v>
      </c>
    </row>
    <row r="384" spans="1:5">
      <c r="A384">
        <v>68</v>
      </c>
      <c r="B384">
        <v>8211</v>
      </c>
      <c r="C384" t="s">
        <v>402</v>
      </c>
      <c r="D384" t="s">
        <v>57</v>
      </c>
      <c r="E384">
        <f>_xlfn.XLOOKUP(D384,Regije!B:B,Regije!A:A)</f>
        <v>7</v>
      </c>
    </row>
    <row r="385" spans="1:5">
      <c r="A385">
        <v>433</v>
      </c>
      <c r="B385">
        <v>8212</v>
      </c>
      <c r="C385" t="s">
        <v>403</v>
      </c>
      <c r="D385" t="s">
        <v>57</v>
      </c>
      <c r="E385">
        <f>_xlfn.XLOOKUP(D385,Regije!B:B,Regije!A:A)</f>
        <v>7</v>
      </c>
    </row>
    <row r="386" spans="1:5">
      <c r="A386">
        <v>437</v>
      </c>
      <c r="B386">
        <v>8213</v>
      </c>
      <c r="C386" t="s">
        <v>404</v>
      </c>
      <c r="D386" t="s">
        <v>57</v>
      </c>
      <c r="E386">
        <f>_xlfn.XLOOKUP(D386,Regije!B:B,Regije!A:A)</f>
        <v>7</v>
      </c>
    </row>
    <row r="387" spans="1:5">
      <c r="A387">
        <v>233</v>
      </c>
      <c r="B387">
        <v>8216</v>
      </c>
      <c r="C387" t="s">
        <v>405</v>
      </c>
      <c r="D387" t="s">
        <v>57</v>
      </c>
      <c r="E387">
        <f>_xlfn.XLOOKUP(D387,Regije!B:B,Regije!A:A)</f>
        <v>7</v>
      </c>
    </row>
    <row r="388" spans="1:5">
      <c r="A388">
        <v>402</v>
      </c>
      <c r="B388">
        <v>8220</v>
      </c>
      <c r="C388" t="s">
        <v>406</v>
      </c>
      <c r="D388" t="s">
        <v>57</v>
      </c>
      <c r="E388">
        <f>_xlfn.XLOOKUP(D388,Regije!B:B,Regije!A:A)</f>
        <v>7</v>
      </c>
    </row>
    <row r="389" spans="1:5">
      <c r="A389">
        <v>261</v>
      </c>
      <c r="B389">
        <v>8222</v>
      </c>
      <c r="C389" t="s">
        <v>407</v>
      </c>
      <c r="D389" t="s">
        <v>57</v>
      </c>
      <c r="E389">
        <f>_xlfn.XLOOKUP(D389,Regije!B:B,Regije!A:A)</f>
        <v>7</v>
      </c>
    </row>
    <row r="390" spans="1:5">
      <c r="A390">
        <v>236</v>
      </c>
      <c r="B390">
        <v>8230</v>
      </c>
      <c r="C390" t="s">
        <v>408</v>
      </c>
      <c r="D390" t="s">
        <v>57</v>
      </c>
      <c r="E390">
        <f>_xlfn.XLOOKUP(D390,Regije!B:B,Regije!A:A)</f>
        <v>7</v>
      </c>
    </row>
    <row r="391" spans="1:5">
      <c r="A391">
        <v>419</v>
      </c>
      <c r="B391">
        <v>8231</v>
      </c>
      <c r="C391" t="s">
        <v>409</v>
      </c>
      <c r="D391" t="s">
        <v>57</v>
      </c>
      <c r="E391">
        <f>_xlfn.XLOOKUP(D391,Regije!B:B,Regije!A:A)</f>
        <v>7</v>
      </c>
    </row>
    <row r="392" spans="1:5">
      <c r="A392">
        <v>392</v>
      </c>
      <c r="B392">
        <v>8232</v>
      </c>
      <c r="C392" t="s">
        <v>245</v>
      </c>
      <c r="D392" t="s">
        <v>57</v>
      </c>
      <c r="E392">
        <f>_xlfn.XLOOKUP(D392,Regije!B:B,Regije!A:A)</f>
        <v>7</v>
      </c>
    </row>
    <row r="393" spans="1:5">
      <c r="A393">
        <v>232</v>
      </c>
      <c r="B393">
        <v>8233</v>
      </c>
      <c r="C393" t="s">
        <v>410</v>
      </c>
      <c r="D393" t="s">
        <v>57</v>
      </c>
      <c r="E393">
        <f>_xlfn.XLOOKUP(D393,Regije!B:B,Regije!A:A)</f>
        <v>7</v>
      </c>
    </row>
    <row r="394" spans="1:5">
      <c r="A394">
        <v>32</v>
      </c>
      <c r="B394">
        <v>8250</v>
      </c>
      <c r="C394" t="s">
        <v>411</v>
      </c>
      <c r="D394" t="s">
        <v>102</v>
      </c>
      <c r="E394">
        <f>_xlfn.XLOOKUP(D394,Regije!B:B,Regije!A:A)</f>
        <v>6</v>
      </c>
    </row>
    <row r="395" spans="1:5">
      <c r="A395">
        <v>49</v>
      </c>
      <c r="B395">
        <v>8251</v>
      </c>
      <c r="C395" t="s">
        <v>412</v>
      </c>
      <c r="D395" t="s">
        <v>102</v>
      </c>
      <c r="E395">
        <f>_xlfn.XLOOKUP(D395,Regije!B:B,Regije!A:A)</f>
        <v>6</v>
      </c>
    </row>
    <row r="396" spans="1:5">
      <c r="A396">
        <v>5</v>
      </c>
      <c r="B396">
        <v>8253</v>
      </c>
      <c r="C396" t="s">
        <v>413</v>
      </c>
      <c r="D396" t="s">
        <v>102</v>
      </c>
      <c r="E396">
        <f>_xlfn.XLOOKUP(D396,Regije!B:B,Regije!A:A)</f>
        <v>6</v>
      </c>
    </row>
    <row r="397" spans="1:5">
      <c r="A397">
        <v>92</v>
      </c>
      <c r="B397">
        <v>8254</v>
      </c>
      <c r="C397" t="s">
        <v>414</v>
      </c>
      <c r="D397" t="s">
        <v>102</v>
      </c>
      <c r="E397">
        <f>_xlfn.XLOOKUP(D397,Regije!B:B,Regije!A:A)</f>
        <v>6</v>
      </c>
    </row>
    <row r="398" spans="1:5">
      <c r="A398">
        <v>268</v>
      </c>
      <c r="B398">
        <v>8255</v>
      </c>
      <c r="C398" t="s">
        <v>415</v>
      </c>
      <c r="D398" t="s">
        <v>102</v>
      </c>
      <c r="E398">
        <f>_xlfn.XLOOKUP(D398,Regije!B:B,Regije!A:A)</f>
        <v>6</v>
      </c>
    </row>
    <row r="399" spans="1:5">
      <c r="A399">
        <v>361</v>
      </c>
      <c r="B399">
        <v>8256</v>
      </c>
      <c r="C399" t="s">
        <v>416</v>
      </c>
      <c r="D399" t="s">
        <v>102</v>
      </c>
      <c r="E399">
        <f>_xlfn.XLOOKUP(D399,Regije!B:B,Regije!A:A)</f>
        <v>6</v>
      </c>
    </row>
    <row r="400" spans="1:5">
      <c r="A400">
        <v>64</v>
      </c>
      <c r="B400">
        <v>8257</v>
      </c>
      <c r="C400" t="s">
        <v>417</v>
      </c>
      <c r="D400" t="s">
        <v>102</v>
      </c>
      <c r="E400">
        <f>_xlfn.XLOOKUP(D400,Regije!B:B,Regije!A:A)</f>
        <v>6</v>
      </c>
    </row>
    <row r="401" spans="1:5">
      <c r="A401">
        <v>142</v>
      </c>
      <c r="B401">
        <v>8258</v>
      </c>
      <c r="C401" t="s">
        <v>418</v>
      </c>
      <c r="D401" t="s">
        <v>102</v>
      </c>
      <c r="E401">
        <f>_xlfn.XLOOKUP(D401,Regije!B:B,Regije!A:A)</f>
        <v>6</v>
      </c>
    </row>
    <row r="402" spans="1:5">
      <c r="A402">
        <v>12</v>
      </c>
      <c r="B402">
        <v>8259</v>
      </c>
      <c r="C402" t="s">
        <v>419</v>
      </c>
      <c r="D402" t="s">
        <v>102</v>
      </c>
      <c r="E402">
        <f>_xlfn.XLOOKUP(D402,Regije!B:B,Regije!A:A)</f>
        <v>6</v>
      </c>
    </row>
    <row r="403" spans="1:5">
      <c r="A403">
        <v>132</v>
      </c>
      <c r="B403">
        <v>8261</v>
      </c>
      <c r="C403" t="s">
        <v>420</v>
      </c>
      <c r="D403" t="s">
        <v>102</v>
      </c>
      <c r="E403">
        <f>_xlfn.XLOOKUP(D403,Regije!B:B,Regije!A:A)</f>
        <v>6</v>
      </c>
    </row>
    <row r="404" spans="1:5">
      <c r="A404">
        <v>175</v>
      </c>
      <c r="B404">
        <v>8262</v>
      </c>
      <c r="C404" t="s">
        <v>421</v>
      </c>
      <c r="D404" t="s">
        <v>102</v>
      </c>
      <c r="E404">
        <f>_xlfn.XLOOKUP(D404,Regije!B:B,Regije!A:A)</f>
        <v>6</v>
      </c>
    </row>
    <row r="405" spans="1:5">
      <c r="A405">
        <v>41</v>
      </c>
      <c r="B405">
        <v>8263</v>
      </c>
      <c r="C405" t="s">
        <v>422</v>
      </c>
      <c r="D405" t="s">
        <v>102</v>
      </c>
      <c r="E405">
        <f>_xlfn.XLOOKUP(D405,Regije!B:B,Regije!A:A)</f>
        <v>6</v>
      </c>
    </row>
    <row r="406" spans="1:5">
      <c r="A406">
        <v>176</v>
      </c>
      <c r="B406">
        <v>8270</v>
      </c>
      <c r="C406" t="s">
        <v>423</v>
      </c>
      <c r="D406" t="s">
        <v>102</v>
      </c>
      <c r="E406">
        <f>_xlfn.XLOOKUP(D406,Regije!B:B,Regije!A:A)</f>
        <v>6</v>
      </c>
    </row>
    <row r="407" spans="1:5">
      <c r="A407">
        <v>460</v>
      </c>
      <c r="B407">
        <v>8272</v>
      </c>
      <c r="C407" t="s">
        <v>424</v>
      </c>
      <c r="D407" t="s">
        <v>102</v>
      </c>
      <c r="E407">
        <f>_xlfn.XLOOKUP(D407,Regije!B:B,Regije!A:A)</f>
        <v>6</v>
      </c>
    </row>
    <row r="408" spans="1:5">
      <c r="A408">
        <v>185</v>
      </c>
      <c r="B408">
        <v>8273</v>
      </c>
      <c r="C408" t="s">
        <v>425</v>
      </c>
      <c r="D408" t="s">
        <v>102</v>
      </c>
      <c r="E408">
        <f>_xlfn.XLOOKUP(D408,Regije!B:B,Regije!A:A)</f>
        <v>6</v>
      </c>
    </row>
    <row r="409" spans="1:5">
      <c r="A409">
        <v>318</v>
      </c>
      <c r="B409">
        <v>8274</v>
      </c>
      <c r="C409" t="s">
        <v>426</v>
      </c>
      <c r="D409" t="s">
        <v>102</v>
      </c>
      <c r="E409">
        <f>_xlfn.XLOOKUP(D409,Regije!B:B,Regije!A:A)</f>
        <v>6</v>
      </c>
    </row>
    <row r="410" spans="1:5">
      <c r="A410">
        <v>394</v>
      </c>
      <c r="B410">
        <v>8275</v>
      </c>
      <c r="C410" t="s">
        <v>427</v>
      </c>
      <c r="D410" t="s">
        <v>57</v>
      </c>
      <c r="E410">
        <f>_xlfn.XLOOKUP(D410,Regije!B:B,Regije!A:A)</f>
        <v>7</v>
      </c>
    </row>
    <row r="411" spans="1:5">
      <c r="A411">
        <v>36</v>
      </c>
      <c r="B411">
        <v>8276</v>
      </c>
      <c r="C411" t="s">
        <v>428</v>
      </c>
      <c r="D411" t="s">
        <v>57</v>
      </c>
      <c r="E411">
        <f>_xlfn.XLOOKUP(D411,Regije!B:B,Regije!A:A)</f>
        <v>7</v>
      </c>
    </row>
    <row r="412" spans="1:5">
      <c r="A412">
        <v>28</v>
      </c>
      <c r="B412">
        <v>8280</v>
      </c>
      <c r="C412" t="s">
        <v>429</v>
      </c>
      <c r="D412" t="s">
        <v>102</v>
      </c>
      <c r="E412">
        <f>_xlfn.XLOOKUP(D412,Regije!B:B,Regije!A:A)</f>
        <v>6</v>
      </c>
    </row>
    <row r="413" spans="1:5">
      <c r="A413">
        <v>340</v>
      </c>
      <c r="B413">
        <v>8281</v>
      </c>
      <c r="C413" t="s">
        <v>430</v>
      </c>
      <c r="D413" t="s">
        <v>102</v>
      </c>
      <c r="E413">
        <f>_xlfn.XLOOKUP(D413,Regije!B:B,Regije!A:A)</f>
        <v>6</v>
      </c>
    </row>
    <row r="414" spans="1:5">
      <c r="A414">
        <v>157</v>
      </c>
      <c r="B414">
        <v>8282</v>
      </c>
      <c r="C414" t="s">
        <v>431</v>
      </c>
      <c r="D414" t="s">
        <v>102</v>
      </c>
      <c r="E414">
        <f>_xlfn.XLOOKUP(D414,Regije!B:B,Regije!A:A)</f>
        <v>6</v>
      </c>
    </row>
    <row r="415" spans="1:5">
      <c r="A415">
        <v>14</v>
      </c>
      <c r="B415">
        <v>8283</v>
      </c>
      <c r="C415" t="s">
        <v>432</v>
      </c>
      <c r="D415" t="s">
        <v>102</v>
      </c>
      <c r="E415">
        <f>_xlfn.XLOOKUP(D415,Regije!B:B,Regije!A:A)</f>
        <v>6</v>
      </c>
    </row>
    <row r="416" spans="1:5">
      <c r="A416">
        <v>342</v>
      </c>
      <c r="B416">
        <v>8290</v>
      </c>
      <c r="C416" t="s">
        <v>433</v>
      </c>
      <c r="D416" t="s">
        <v>102</v>
      </c>
      <c r="E416">
        <f>_xlfn.XLOOKUP(D416,Regije!B:B,Regije!A:A)</f>
        <v>6</v>
      </c>
    </row>
    <row r="417" spans="1:5">
      <c r="A417">
        <v>456</v>
      </c>
      <c r="B417">
        <v>8292</v>
      </c>
      <c r="C417" t="s">
        <v>434</v>
      </c>
      <c r="D417" t="s">
        <v>102</v>
      </c>
      <c r="E417">
        <f>_xlfn.XLOOKUP(D417,Regije!B:B,Regije!A:A)</f>
        <v>6</v>
      </c>
    </row>
    <row r="418" spans="1:5">
      <c r="A418">
        <v>373</v>
      </c>
      <c r="B418">
        <v>8293</v>
      </c>
      <c r="C418" t="s">
        <v>435</v>
      </c>
      <c r="D418" t="s">
        <v>102</v>
      </c>
      <c r="E418">
        <f>_xlfn.XLOOKUP(D418,Regije!B:B,Regije!A:A)</f>
        <v>6</v>
      </c>
    </row>
    <row r="419" spans="1:5">
      <c r="A419">
        <v>23</v>
      </c>
      <c r="B419">
        <v>8294</v>
      </c>
      <c r="C419" t="s">
        <v>436</v>
      </c>
      <c r="D419" t="s">
        <v>102</v>
      </c>
      <c r="E419">
        <f>_xlfn.XLOOKUP(D419,Regije!B:B,Regije!A:A)</f>
        <v>6</v>
      </c>
    </row>
    <row r="420" spans="1:5">
      <c r="A420">
        <v>426</v>
      </c>
      <c r="B420">
        <v>8295</v>
      </c>
      <c r="C420" t="s">
        <v>437</v>
      </c>
      <c r="D420" t="s">
        <v>102</v>
      </c>
      <c r="E420">
        <f>_xlfn.XLOOKUP(D420,Regije!B:B,Regije!A:A)</f>
        <v>6</v>
      </c>
    </row>
    <row r="421" spans="1:5">
      <c r="A421">
        <v>173</v>
      </c>
      <c r="B421">
        <v>8296</v>
      </c>
      <c r="C421" t="s">
        <v>438</v>
      </c>
      <c r="D421" t="s">
        <v>102</v>
      </c>
      <c r="E421">
        <f>_xlfn.XLOOKUP(D421,Regije!B:B,Regije!A:A)</f>
        <v>6</v>
      </c>
    </row>
    <row r="422" spans="1:5">
      <c r="A422">
        <v>387</v>
      </c>
      <c r="B422">
        <v>8297</v>
      </c>
      <c r="C422" t="s">
        <v>439</v>
      </c>
      <c r="D422" t="s">
        <v>102</v>
      </c>
      <c r="E422">
        <f>_xlfn.XLOOKUP(D422,Regije!B:B,Regije!A:A)</f>
        <v>6</v>
      </c>
    </row>
    <row r="423" spans="1:5">
      <c r="A423">
        <v>389</v>
      </c>
      <c r="B423">
        <v>8310</v>
      </c>
      <c r="C423" t="s">
        <v>440</v>
      </c>
      <c r="D423" t="s">
        <v>57</v>
      </c>
      <c r="E423">
        <f>_xlfn.XLOOKUP(D423,Regije!B:B,Regije!A:A)</f>
        <v>7</v>
      </c>
    </row>
    <row r="424" spans="1:5">
      <c r="A424">
        <v>159</v>
      </c>
      <c r="B424">
        <v>8311</v>
      </c>
      <c r="C424" t="s">
        <v>441</v>
      </c>
      <c r="D424" t="s">
        <v>57</v>
      </c>
      <c r="E424">
        <f>_xlfn.XLOOKUP(D424,Regije!B:B,Regije!A:A)</f>
        <v>7</v>
      </c>
    </row>
    <row r="425" spans="1:5">
      <c r="A425">
        <v>273</v>
      </c>
      <c r="B425">
        <v>8312</v>
      </c>
      <c r="C425" t="s">
        <v>442</v>
      </c>
      <c r="D425" t="s">
        <v>57</v>
      </c>
      <c r="E425">
        <f>_xlfn.XLOOKUP(D425,Regije!B:B,Regije!A:A)</f>
        <v>7</v>
      </c>
    </row>
    <row r="426" spans="1:5">
      <c r="A426">
        <v>34</v>
      </c>
      <c r="B426">
        <v>8321</v>
      </c>
      <c r="C426" t="s">
        <v>443</v>
      </c>
      <c r="D426" t="s">
        <v>57</v>
      </c>
      <c r="E426">
        <f>_xlfn.XLOOKUP(D426,Regije!B:B,Regije!A:A)</f>
        <v>7</v>
      </c>
    </row>
    <row r="427" spans="1:5">
      <c r="A427">
        <v>369</v>
      </c>
      <c r="B427">
        <v>8322</v>
      </c>
      <c r="C427" t="s">
        <v>444</v>
      </c>
      <c r="D427" t="s">
        <v>57</v>
      </c>
      <c r="E427">
        <f>_xlfn.XLOOKUP(D427,Regije!B:B,Regije!A:A)</f>
        <v>7</v>
      </c>
    </row>
    <row r="428" spans="1:5">
      <c r="A428">
        <v>429</v>
      </c>
      <c r="B428">
        <v>8323</v>
      </c>
      <c r="C428" t="s">
        <v>445</v>
      </c>
      <c r="D428" t="s">
        <v>57</v>
      </c>
      <c r="E428">
        <f>_xlfn.XLOOKUP(D428,Regije!B:B,Regije!A:A)</f>
        <v>7</v>
      </c>
    </row>
    <row r="429" spans="1:5">
      <c r="A429">
        <v>227</v>
      </c>
      <c r="B429">
        <v>8330</v>
      </c>
      <c r="C429" t="s">
        <v>446</v>
      </c>
      <c r="D429" t="s">
        <v>57</v>
      </c>
      <c r="E429">
        <f>_xlfn.XLOOKUP(D429,Regije!B:B,Regije!A:A)</f>
        <v>7</v>
      </c>
    </row>
    <row r="430" spans="1:5">
      <c r="A430">
        <v>374</v>
      </c>
      <c r="B430">
        <v>8331</v>
      </c>
      <c r="C430" t="s">
        <v>447</v>
      </c>
      <c r="D430" t="s">
        <v>57</v>
      </c>
      <c r="E430">
        <f>_xlfn.XLOOKUP(D430,Regije!B:B,Regije!A:A)</f>
        <v>7</v>
      </c>
    </row>
    <row r="431" spans="1:5">
      <c r="A431">
        <v>104</v>
      </c>
      <c r="B431">
        <v>8332</v>
      </c>
      <c r="C431" t="s">
        <v>448</v>
      </c>
      <c r="D431" t="s">
        <v>57</v>
      </c>
      <c r="E431">
        <f>_xlfn.XLOOKUP(D431,Regije!B:B,Regije!A:A)</f>
        <v>7</v>
      </c>
    </row>
    <row r="432" spans="1:5">
      <c r="A432">
        <v>339</v>
      </c>
      <c r="B432">
        <v>8333</v>
      </c>
      <c r="C432" t="s">
        <v>449</v>
      </c>
      <c r="D432" t="s">
        <v>57</v>
      </c>
      <c r="E432">
        <f>_xlfn.XLOOKUP(D432,Regije!B:B,Regije!A:A)</f>
        <v>7</v>
      </c>
    </row>
    <row r="433" spans="1:5">
      <c r="A433">
        <v>57</v>
      </c>
      <c r="B433">
        <v>8340</v>
      </c>
      <c r="C433" t="s">
        <v>450</v>
      </c>
      <c r="D433" t="s">
        <v>57</v>
      </c>
      <c r="E433">
        <f>_xlfn.XLOOKUP(D433,Regije!B:B,Regije!A:A)</f>
        <v>7</v>
      </c>
    </row>
    <row r="434" spans="1:5">
      <c r="A434">
        <v>1</v>
      </c>
      <c r="B434">
        <v>8341</v>
      </c>
      <c r="C434" t="s">
        <v>451</v>
      </c>
      <c r="D434" t="s">
        <v>57</v>
      </c>
      <c r="E434">
        <f>_xlfn.XLOOKUP(D434,Regije!B:B,Regije!A:A)</f>
        <v>7</v>
      </c>
    </row>
    <row r="435" spans="1:5">
      <c r="A435">
        <v>365</v>
      </c>
      <c r="B435">
        <v>8342</v>
      </c>
      <c r="C435" t="s">
        <v>452</v>
      </c>
      <c r="D435" t="s">
        <v>57</v>
      </c>
      <c r="E435">
        <f>_xlfn.XLOOKUP(D435,Regije!B:B,Regije!A:A)</f>
        <v>7</v>
      </c>
    </row>
    <row r="436" spans="1:5">
      <c r="A436">
        <v>81</v>
      </c>
      <c r="B436">
        <v>8343</v>
      </c>
      <c r="C436" t="s">
        <v>453</v>
      </c>
      <c r="D436" t="s">
        <v>57</v>
      </c>
      <c r="E436">
        <f>_xlfn.XLOOKUP(D436,Regije!B:B,Regije!A:A)</f>
        <v>7</v>
      </c>
    </row>
    <row r="437" spans="1:5">
      <c r="A437">
        <v>441</v>
      </c>
      <c r="B437">
        <v>8344</v>
      </c>
      <c r="C437" t="s">
        <v>454</v>
      </c>
      <c r="D437" t="s">
        <v>57</v>
      </c>
      <c r="E437">
        <f>_xlfn.XLOOKUP(D437,Regije!B:B,Regije!A:A)</f>
        <v>7</v>
      </c>
    </row>
    <row r="438" spans="1:5">
      <c r="A438">
        <v>76</v>
      </c>
      <c r="B438">
        <v>8350</v>
      </c>
      <c r="C438" t="s">
        <v>455</v>
      </c>
      <c r="D438" t="s">
        <v>57</v>
      </c>
      <c r="E438">
        <f>_xlfn.XLOOKUP(D438,Regije!B:B,Regije!A:A)</f>
        <v>7</v>
      </c>
    </row>
    <row r="439" spans="1:5">
      <c r="A439">
        <v>371</v>
      </c>
      <c r="B439">
        <v>8351</v>
      </c>
      <c r="C439" t="s">
        <v>456</v>
      </c>
      <c r="D439" t="s">
        <v>57</v>
      </c>
      <c r="E439">
        <f>_xlfn.XLOOKUP(D439,Regije!B:B,Regije!A:A)</f>
        <v>7</v>
      </c>
    </row>
    <row r="440" spans="1:5">
      <c r="A440">
        <v>478</v>
      </c>
      <c r="B440">
        <v>8360</v>
      </c>
      <c r="C440" t="s">
        <v>457</v>
      </c>
      <c r="D440" t="s">
        <v>57</v>
      </c>
      <c r="E440">
        <f>_xlfn.XLOOKUP(D440,Regije!B:B,Regije!A:A)</f>
        <v>7</v>
      </c>
    </row>
    <row r="441" spans="1:5">
      <c r="A441">
        <v>86</v>
      </c>
      <c r="B441">
        <v>8361</v>
      </c>
      <c r="C441" t="s">
        <v>458</v>
      </c>
      <c r="D441" t="s">
        <v>57</v>
      </c>
      <c r="E441">
        <f>_xlfn.XLOOKUP(D441,Regije!B:B,Regije!A:A)</f>
        <v>7</v>
      </c>
    </row>
    <row r="442" spans="1:5">
      <c r="A442">
        <v>112</v>
      </c>
      <c r="B442">
        <v>8362</v>
      </c>
      <c r="C442" t="s">
        <v>459</v>
      </c>
      <c r="D442" t="s">
        <v>57</v>
      </c>
      <c r="E442">
        <f>_xlfn.XLOOKUP(D442,Regije!B:B,Regije!A:A)</f>
        <v>7</v>
      </c>
    </row>
    <row r="443" spans="1:5">
      <c r="A443">
        <v>242</v>
      </c>
      <c r="B443">
        <v>9000</v>
      </c>
      <c r="C443" t="s">
        <v>460</v>
      </c>
      <c r="D443" t="s">
        <v>461</v>
      </c>
      <c r="E443">
        <f>_xlfn.XLOOKUP(D443,Regije!B:B,Regije!A:A)</f>
        <v>1</v>
      </c>
    </row>
    <row r="444" spans="1:5">
      <c r="A444">
        <v>243</v>
      </c>
      <c r="B444">
        <v>9001</v>
      </c>
      <c r="C444" t="s">
        <v>462</v>
      </c>
      <c r="D444" t="s">
        <v>461</v>
      </c>
      <c r="E444">
        <f>_xlfn.XLOOKUP(D444,Regije!B:B,Regije!A:A)</f>
        <v>1</v>
      </c>
    </row>
    <row r="445" spans="1:5">
      <c r="A445">
        <v>311</v>
      </c>
      <c r="B445">
        <v>9201</v>
      </c>
      <c r="C445" t="s">
        <v>463</v>
      </c>
      <c r="D445" t="s">
        <v>461</v>
      </c>
      <c r="E445">
        <f>_xlfn.XLOOKUP(D445,Regije!B:B,Regije!A:A)</f>
        <v>1</v>
      </c>
    </row>
    <row r="446" spans="1:5">
      <c r="A446">
        <v>212</v>
      </c>
      <c r="B446">
        <v>9202</v>
      </c>
      <c r="C446" t="s">
        <v>464</v>
      </c>
      <c r="D446" t="s">
        <v>461</v>
      </c>
      <c r="E446">
        <f>_xlfn.XLOOKUP(D446,Regije!B:B,Regije!A:A)</f>
        <v>1</v>
      </c>
    </row>
    <row r="447" spans="1:5">
      <c r="A447">
        <v>265</v>
      </c>
      <c r="B447">
        <v>9203</v>
      </c>
      <c r="C447" t="s">
        <v>465</v>
      </c>
      <c r="D447" t="s">
        <v>461</v>
      </c>
      <c r="E447">
        <f>_xlfn.XLOOKUP(D447,Regije!B:B,Regije!A:A)</f>
        <v>1</v>
      </c>
    </row>
    <row r="448" spans="1:5">
      <c r="A448">
        <v>381</v>
      </c>
      <c r="B448">
        <v>9204</v>
      </c>
      <c r="C448" t="s">
        <v>466</v>
      </c>
      <c r="D448" t="s">
        <v>461</v>
      </c>
      <c r="E448">
        <f>_xlfn.XLOOKUP(D448,Regije!B:B,Regije!A:A)</f>
        <v>1</v>
      </c>
    </row>
    <row r="449" spans="1:5">
      <c r="A449">
        <v>114</v>
      </c>
      <c r="B449">
        <v>9205</v>
      </c>
      <c r="C449" t="s">
        <v>467</v>
      </c>
      <c r="D449" t="s">
        <v>461</v>
      </c>
      <c r="E449">
        <f>_xlfn.XLOOKUP(D449,Regije!B:B,Regije!A:A)</f>
        <v>1</v>
      </c>
    </row>
    <row r="450" spans="1:5">
      <c r="A450">
        <v>170</v>
      </c>
      <c r="B450">
        <v>9206</v>
      </c>
      <c r="C450" t="s">
        <v>468</v>
      </c>
      <c r="D450" t="s">
        <v>461</v>
      </c>
      <c r="E450">
        <f>_xlfn.XLOOKUP(D450,Regije!B:B,Regije!A:A)</f>
        <v>1</v>
      </c>
    </row>
    <row r="451" spans="1:5">
      <c r="A451">
        <v>307</v>
      </c>
      <c r="B451">
        <v>9207</v>
      </c>
      <c r="C451" t="s">
        <v>469</v>
      </c>
      <c r="D451" t="s">
        <v>461</v>
      </c>
      <c r="E451">
        <f>_xlfn.XLOOKUP(D451,Regije!B:B,Regije!A:A)</f>
        <v>1</v>
      </c>
    </row>
    <row r="452" spans="1:5">
      <c r="A452">
        <v>88</v>
      </c>
      <c r="B452">
        <v>9208</v>
      </c>
      <c r="C452" t="s">
        <v>470</v>
      </c>
      <c r="D452" t="s">
        <v>461</v>
      </c>
      <c r="E452">
        <f>_xlfn.XLOOKUP(D452,Regije!B:B,Regije!A:A)</f>
        <v>1</v>
      </c>
    </row>
    <row r="453" spans="1:5">
      <c r="A453">
        <v>182</v>
      </c>
      <c r="B453">
        <v>9220</v>
      </c>
      <c r="C453" t="s">
        <v>471</v>
      </c>
      <c r="D453" t="s">
        <v>461</v>
      </c>
      <c r="E453">
        <f>_xlfn.XLOOKUP(D453,Regije!B:B,Regije!A:A)</f>
        <v>1</v>
      </c>
    </row>
    <row r="454" spans="1:5">
      <c r="A454">
        <v>222</v>
      </c>
      <c r="B454">
        <v>9221</v>
      </c>
      <c r="C454" t="s">
        <v>472</v>
      </c>
      <c r="D454" t="s">
        <v>461</v>
      </c>
      <c r="E454">
        <f>_xlfn.XLOOKUP(D454,Regije!B:B,Regije!A:A)</f>
        <v>1</v>
      </c>
    </row>
    <row r="455" spans="1:5">
      <c r="A455">
        <v>18</v>
      </c>
      <c r="B455">
        <v>9222</v>
      </c>
      <c r="C455" t="s">
        <v>473</v>
      </c>
      <c r="D455" t="s">
        <v>461</v>
      </c>
      <c r="E455">
        <f>_xlfn.XLOOKUP(D455,Regije!B:B,Regije!A:A)</f>
        <v>1</v>
      </c>
    </row>
    <row r="456" spans="1:5">
      <c r="A456">
        <v>70</v>
      </c>
      <c r="B456">
        <v>9223</v>
      </c>
      <c r="C456" t="s">
        <v>474</v>
      </c>
      <c r="D456" t="s">
        <v>461</v>
      </c>
      <c r="E456">
        <f>_xlfn.XLOOKUP(D456,Regije!B:B,Regije!A:A)</f>
        <v>1</v>
      </c>
    </row>
    <row r="457" spans="1:5">
      <c r="A457">
        <v>428</v>
      </c>
      <c r="B457">
        <v>9224</v>
      </c>
      <c r="C457" t="s">
        <v>475</v>
      </c>
      <c r="D457" t="s">
        <v>461</v>
      </c>
      <c r="E457">
        <f>_xlfn.XLOOKUP(D457,Regije!B:B,Regije!A:A)</f>
        <v>1</v>
      </c>
    </row>
    <row r="458" spans="1:5">
      <c r="A458">
        <v>435</v>
      </c>
      <c r="B458">
        <v>9225</v>
      </c>
      <c r="C458" t="s">
        <v>476</v>
      </c>
      <c r="D458" t="s">
        <v>461</v>
      </c>
      <c r="E458">
        <f>_xlfn.XLOOKUP(D458,Regije!B:B,Regije!A:A)</f>
        <v>1</v>
      </c>
    </row>
    <row r="459" spans="1:5">
      <c r="A459">
        <v>238</v>
      </c>
      <c r="B459">
        <v>9226</v>
      </c>
      <c r="C459" t="s">
        <v>477</v>
      </c>
      <c r="D459" t="s">
        <v>461</v>
      </c>
      <c r="E459">
        <f>_xlfn.XLOOKUP(D459,Regije!B:B,Regije!A:A)</f>
        <v>1</v>
      </c>
    </row>
    <row r="460" spans="1:5">
      <c r="A460">
        <v>148</v>
      </c>
      <c r="B460">
        <v>9227</v>
      </c>
      <c r="C460" t="s">
        <v>478</v>
      </c>
      <c r="D460" t="s">
        <v>461</v>
      </c>
      <c r="E460">
        <f>_xlfn.XLOOKUP(D460,Regije!B:B,Regije!A:A)</f>
        <v>1</v>
      </c>
    </row>
    <row r="461" spans="1:5">
      <c r="A461">
        <v>8</v>
      </c>
      <c r="B461">
        <v>9231</v>
      </c>
      <c r="C461" t="s">
        <v>479</v>
      </c>
      <c r="D461" t="s">
        <v>461</v>
      </c>
      <c r="E461">
        <f>_xlfn.XLOOKUP(D461,Regije!B:B,Regije!A:A)</f>
        <v>1</v>
      </c>
    </row>
    <row r="462" spans="1:5">
      <c r="A462">
        <v>52</v>
      </c>
      <c r="B462">
        <v>9232</v>
      </c>
      <c r="C462" t="s">
        <v>480</v>
      </c>
      <c r="D462" t="s">
        <v>461</v>
      </c>
      <c r="E462">
        <f>_xlfn.XLOOKUP(D462,Regije!B:B,Regije!A:A)</f>
        <v>1</v>
      </c>
    </row>
    <row r="463" spans="1:5">
      <c r="A463">
        <v>255</v>
      </c>
      <c r="B463">
        <v>9233</v>
      </c>
      <c r="C463" t="s">
        <v>481</v>
      </c>
      <c r="D463" t="s">
        <v>461</v>
      </c>
      <c r="E463">
        <f>_xlfn.XLOOKUP(D463,Regije!B:B,Regije!A:A)</f>
        <v>1</v>
      </c>
    </row>
    <row r="464" spans="1:5">
      <c r="A464">
        <v>199</v>
      </c>
      <c r="B464">
        <v>9240</v>
      </c>
      <c r="C464" t="s">
        <v>482</v>
      </c>
      <c r="D464" t="s">
        <v>461</v>
      </c>
      <c r="E464">
        <f>_xlfn.XLOOKUP(D464,Regije!B:B,Regije!A:A)</f>
        <v>1</v>
      </c>
    </row>
    <row r="465" spans="1:5">
      <c r="A465">
        <v>438</v>
      </c>
      <c r="B465">
        <v>9241</v>
      </c>
      <c r="C465" t="s">
        <v>483</v>
      </c>
      <c r="D465" t="s">
        <v>461</v>
      </c>
      <c r="E465">
        <f>_xlfn.XLOOKUP(D465,Regije!B:B,Regije!A:A)</f>
        <v>1</v>
      </c>
    </row>
    <row r="466" spans="1:5">
      <c r="A466">
        <v>171</v>
      </c>
      <c r="B466">
        <v>9242</v>
      </c>
      <c r="C466" t="s">
        <v>484</v>
      </c>
      <c r="D466" t="s">
        <v>461</v>
      </c>
      <c r="E466">
        <f>_xlfn.XLOOKUP(D466,Regije!B:B,Regije!A:A)</f>
        <v>1</v>
      </c>
    </row>
    <row r="467" spans="1:5">
      <c r="A467">
        <v>215</v>
      </c>
      <c r="B467">
        <v>9243</v>
      </c>
      <c r="C467" t="s">
        <v>485</v>
      </c>
      <c r="D467" t="s">
        <v>461</v>
      </c>
      <c r="E467">
        <f>_xlfn.XLOOKUP(D467,Regije!B:B,Regije!A:A)</f>
        <v>1</v>
      </c>
    </row>
    <row r="468" spans="1:5">
      <c r="A468">
        <v>378</v>
      </c>
      <c r="B468">
        <v>9244</v>
      </c>
      <c r="C468" t="s">
        <v>486</v>
      </c>
      <c r="D468" t="s">
        <v>461</v>
      </c>
      <c r="E468">
        <f>_xlfn.XLOOKUP(D468,Regije!B:B,Regije!A:A)</f>
        <v>1</v>
      </c>
    </row>
    <row r="469" spans="1:5">
      <c r="A469">
        <v>358</v>
      </c>
      <c r="B469">
        <v>9245</v>
      </c>
      <c r="C469" t="s">
        <v>487</v>
      </c>
      <c r="D469" t="s">
        <v>461</v>
      </c>
      <c r="E469">
        <f>_xlfn.XLOOKUP(D469,Regije!B:B,Regije!A:A)</f>
        <v>1</v>
      </c>
    </row>
    <row r="470" spans="1:5">
      <c r="A470">
        <v>322</v>
      </c>
      <c r="B470">
        <v>9246</v>
      </c>
      <c r="C470" t="s">
        <v>488</v>
      </c>
      <c r="D470" t="s">
        <v>461</v>
      </c>
      <c r="E470">
        <f>_xlfn.XLOOKUP(D470,Regije!B:B,Regije!A:A)</f>
        <v>1</v>
      </c>
    </row>
    <row r="471" spans="1:5">
      <c r="A471">
        <v>99</v>
      </c>
      <c r="B471">
        <v>9250</v>
      </c>
      <c r="C471" t="s">
        <v>489</v>
      </c>
      <c r="D471" t="s">
        <v>461</v>
      </c>
      <c r="E471">
        <f>_xlfn.XLOOKUP(D471,Regije!B:B,Regije!A:A)</f>
        <v>1</v>
      </c>
    </row>
    <row r="472" spans="1:5">
      <c r="A472">
        <v>414</v>
      </c>
      <c r="B472">
        <v>9251</v>
      </c>
      <c r="C472" t="s">
        <v>490</v>
      </c>
      <c r="D472" t="s">
        <v>461</v>
      </c>
      <c r="E472">
        <f>_xlfn.XLOOKUP(D472,Regije!B:B,Regije!A:A)</f>
        <v>1</v>
      </c>
    </row>
    <row r="473" spans="1:5">
      <c r="A473">
        <v>314</v>
      </c>
      <c r="B473">
        <v>9252</v>
      </c>
      <c r="C473" t="s">
        <v>491</v>
      </c>
      <c r="D473" t="s">
        <v>461</v>
      </c>
      <c r="E473">
        <f>_xlfn.XLOOKUP(D473,Regije!B:B,Regije!A:A)</f>
        <v>1</v>
      </c>
    </row>
    <row r="474" spans="1:5">
      <c r="A474">
        <v>4</v>
      </c>
      <c r="B474">
        <v>9253</v>
      </c>
      <c r="C474" t="s">
        <v>492</v>
      </c>
      <c r="D474" t="s">
        <v>461</v>
      </c>
      <c r="E474">
        <f>_xlfn.XLOOKUP(D474,Regije!B:B,Regije!A:A)</f>
        <v>1</v>
      </c>
    </row>
    <row r="475" spans="1:5">
      <c r="A475">
        <v>37</v>
      </c>
      <c r="B475">
        <v>9261</v>
      </c>
      <c r="C475" t="s">
        <v>493</v>
      </c>
      <c r="D475" t="s">
        <v>461</v>
      </c>
      <c r="E475">
        <f>_xlfn.XLOOKUP(D475,Regije!B:B,Regije!A:A)</f>
        <v>1</v>
      </c>
    </row>
    <row r="476" spans="1:5">
      <c r="A476">
        <v>331</v>
      </c>
      <c r="B476">
        <v>9262</v>
      </c>
      <c r="C476" t="s">
        <v>494</v>
      </c>
      <c r="D476" t="s">
        <v>461</v>
      </c>
      <c r="E476">
        <f>_xlfn.XLOOKUP(D476,Regije!B:B,Regije!A:A)</f>
        <v>1</v>
      </c>
    </row>
    <row r="477" spans="1:5">
      <c r="A477">
        <v>177</v>
      </c>
      <c r="B477">
        <v>9263</v>
      </c>
      <c r="C477" t="s">
        <v>495</v>
      </c>
      <c r="D477" t="s">
        <v>461</v>
      </c>
      <c r="E477">
        <f>_xlfn.XLOOKUP(D477,Regije!B:B,Regije!A:A)</f>
        <v>1</v>
      </c>
    </row>
    <row r="478" spans="1:5">
      <c r="A478">
        <v>103</v>
      </c>
      <c r="B478">
        <v>9264</v>
      </c>
      <c r="C478" t="s">
        <v>496</v>
      </c>
      <c r="D478" t="s">
        <v>461</v>
      </c>
      <c r="E478">
        <f>_xlfn.XLOOKUP(D478,Regije!B:B,Regije!A:A)</f>
        <v>1</v>
      </c>
    </row>
    <row r="479" spans="1:5">
      <c r="A479">
        <v>17</v>
      </c>
      <c r="B479">
        <v>9265</v>
      </c>
      <c r="C479" t="s">
        <v>497</v>
      </c>
      <c r="D479" t="s">
        <v>461</v>
      </c>
      <c r="E479">
        <f>_xlfn.XLOOKUP(D479,Regije!B:B,Regije!A:A)</f>
        <v>1</v>
      </c>
    </row>
    <row r="480" spans="1:5">
      <c r="A480">
        <v>480</v>
      </c>
      <c r="B480">
        <v>9991</v>
      </c>
      <c r="C480" t="s">
        <v>498</v>
      </c>
      <c r="D480" t="s">
        <v>499</v>
      </c>
      <c r="E480" t="e">
        <f>_xlfn.XLOOKUP(D480,Regije!B:B,Regije!A:A)</f>
        <v>#N/A</v>
      </c>
    </row>
    <row r="481" spans="1:5">
      <c r="A481">
        <v>481</v>
      </c>
      <c r="B481">
        <v>9992</v>
      </c>
      <c r="C481" t="s">
        <v>500</v>
      </c>
      <c r="D481" t="s">
        <v>499</v>
      </c>
      <c r="E481" t="e">
        <f>_xlfn.XLOOKUP(D481,Regije!B:B,Regije!A:A)</f>
        <v>#N/A</v>
      </c>
    </row>
    <row r="482" spans="1:5">
      <c r="A482">
        <v>482</v>
      </c>
      <c r="B482">
        <v>9993</v>
      </c>
      <c r="C482" t="s">
        <v>501</v>
      </c>
      <c r="D482" t="s">
        <v>499</v>
      </c>
      <c r="E482" t="e">
        <f>_xlfn.XLOOKUP(D482,Regije!B:B,Regije!A:A)</f>
        <v>#N/A</v>
      </c>
    </row>
    <row r="483" spans="1:5">
      <c r="A483">
        <v>483</v>
      </c>
      <c r="B483">
        <v>9994</v>
      </c>
      <c r="C483" t="s">
        <v>502</v>
      </c>
      <c r="D483" t="s">
        <v>499</v>
      </c>
      <c r="E483" t="e">
        <f>_xlfn.XLOOKUP(D483,Regije!B:B,Regije!A:A)</f>
        <v>#N/A</v>
      </c>
    </row>
    <row r="484" spans="1:5">
      <c r="A484">
        <v>479</v>
      </c>
      <c r="B484">
        <v>9999</v>
      </c>
      <c r="C484" t="s">
        <v>503</v>
      </c>
      <c r="D484" t="s">
        <v>504</v>
      </c>
      <c r="E484" t="e">
        <f>_xlfn.XLOOKUP(D484,Regije!B:B,Regije!A:A)</f>
        <v>#N/A</v>
      </c>
    </row>
  </sheetData>
  <sortState xmlns:xlrd2="http://schemas.microsoft.com/office/spreadsheetml/2017/richdata2" ref="A2:E484">
    <sortCondition ref="B202:B484"/>
  </sortState>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FDDB-4B6F-4B7B-90FA-3D344ADEA498}">
  <dimension ref="A1:C3"/>
  <sheetViews>
    <sheetView workbookViewId="0">
      <selection activeCell="A2" sqref="A2"/>
    </sheetView>
  </sheetViews>
  <sheetFormatPr defaultRowHeight="14.45"/>
  <cols>
    <col min="1" max="1" width="9.28515625" bestFit="1" customWidth="1"/>
    <col min="2" max="2" width="17.42578125" bestFit="1" customWidth="1"/>
  </cols>
  <sheetData>
    <row r="1" spans="1:3">
      <c r="A1" t="s">
        <v>505</v>
      </c>
      <c r="B1" t="s">
        <v>506</v>
      </c>
      <c r="C1" t="s">
        <v>507</v>
      </c>
    </row>
    <row r="2" spans="1:3">
      <c r="A2" t="s">
        <v>508</v>
      </c>
      <c r="B2" t="s">
        <v>509</v>
      </c>
      <c r="C2">
        <v>50</v>
      </c>
    </row>
    <row r="3" spans="1:3">
      <c r="A3" t="s">
        <v>271</v>
      </c>
      <c r="B3" t="s">
        <v>509</v>
      </c>
      <c r="C3">
        <v>45.7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BCBC-B217-4578-9C7C-78EA70EB9E43}">
  <dimension ref="A1:I3"/>
  <sheetViews>
    <sheetView workbookViewId="0">
      <selection activeCell="G3" sqref="G3:I3"/>
    </sheetView>
  </sheetViews>
  <sheetFormatPr defaultRowHeight="14.45"/>
  <cols>
    <col min="1" max="1" width="9.7109375" bestFit="1" customWidth="1"/>
    <col min="2" max="2" width="17.42578125" bestFit="1" customWidth="1"/>
  </cols>
  <sheetData>
    <row r="1" spans="1:9">
      <c r="A1" t="s">
        <v>505</v>
      </c>
      <c r="B1" t="s">
        <v>506</v>
      </c>
      <c r="C1" t="s">
        <v>510</v>
      </c>
      <c r="D1" t="s">
        <v>511</v>
      </c>
      <c r="E1" t="s">
        <v>512</v>
      </c>
      <c r="F1" t="s">
        <v>513</v>
      </c>
      <c r="G1" t="str">
        <f>C1&amp;"%"</f>
        <v>Zdravo%</v>
      </c>
      <c r="H1" t="str">
        <f t="shared" ref="H1:I1" si="0">D1&amp;"%"</f>
        <v>Mejno%</v>
      </c>
      <c r="I1" t="str">
        <f t="shared" si="0"/>
        <v>Tvegano%</v>
      </c>
    </row>
    <row r="2" spans="1:9">
      <c r="A2" t="s">
        <v>508</v>
      </c>
      <c r="B2" t="s">
        <v>509</v>
      </c>
      <c r="C2">
        <v>6666</v>
      </c>
      <c r="D2">
        <v>3333</v>
      </c>
      <c r="E2">
        <v>1111</v>
      </c>
      <c r="F2">
        <f>SUM(C2:E2)</f>
        <v>11110</v>
      </c>
      <c r="G2" s="3">
        <f>C2/$F2</f>
        <v>0.6</v>
      </c>
      <c r="H2" s="3">
        <f t="shared" ref="H2:I2" si="1">D2/$F2</f>
        <v>0.3</v>
      </c>
      <c r="I2" s="3">
        <f t="shared" si="1"/>
        <v>0.1</v>
      </c>
    </row>
    <row r="3" spans="1:9">
      <c r="A3" t="s">
        <v>271</v>
      </c>
      <c r="B3" t="s">
        <v>509</v>
      </c>
      <c r="C3">
        <v>555</v>
      </c>
      <c r="D3">
        <v>222</v>
      </c>
      <c r="E3">
        <v>55</v>
      </c>
      <c r="F3">
        <f>SUM(C3:E3)</f>
        <v>832</v>
      </c>
      <c r="G3" s="3">
        <f>C3/$F3</f>
        <v>0.66706730769230771</v>
      </c>
      <c r="H3" s="3">
        <f t="shared" ref="H3" si="2">D3/$F3</f>
        <v>0.26682692307692307</v>
      </c>
      <c r="I3" s="3">
        <f t="shared" ref="I3" si="3">E3/$F3</f>
        <v>6.6105769230769232E-2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4D09-FF85-4DE9-AF94-0B97658C74B1}">
  <dimension ref="A1:Z30"/>
  <sheetViews>
    <sheetView tabSelected="1" workbookViewId="0">
      <selection activeCell="Z1" sqref="Z1"/>
    </sheetView>
  </sheetViews>
  <sheetFormatPr defaultRowHeight="14.45"/>
  <cols>
    <col min="3" max="3" width="22.28515625" bestFit="1" customWidth="1"/>
    <col min="7" max="25" width="0" hidden="1" customWidth="1"/>
  </cols>
  <sheetData>
    <row r="1" spans="1:26">
      <c r="A1" t="s">
        <v>0</v>
      </c>
      <c r="B1" t="s">
        <v>514</v>
      </c>
      <c r="C1" t="s">
        <v>515</v>
      </c>
      <c r="D1" t="s">
        <v>516</v>
      </c>
      <c r="E1" t="s">
        <v>517</v>
      </c>
      <c r="F1" s="4" t="s">
        <v>518</v>
      </c>
      <c r="G1" t="s">
        <v>519</v>
      </c>
      <c r="H1" t="s">
        <v>520</v>
      </c>
      <c r="I1" t="s">
        <v>521</v>
      </c>
      <c r="J1" t="s">
        <v>522</v>
      </c>
      <c r="K1" t="s">
        <v>523</v>
      </c>
      <c r="L1" t="s">
        <v>524</v>
      </c>
      <c r="M1" t="s">
        <v>525</v>
      </c>
      <c r="N1" t="s">
        <v>526</v>
      </c>
      <c r="O1" t="s">
        <v>527</v>
      </c>
      <c r="P1" t="s">
        <v>528</v>
      </c>
      <c r="Q1" t="s">
        <v>529</v>
      </c>
      <c r="R1" t="s">
        <v>530</v>
      </c>
      <c r="S1" t="s">
        <v>531</v>
      </c>
      <c r="T1" t="s">
        <v>532</v>
      </c>
      <c r="U1" t="s">
        <v>533</v>
      </c>
      <c r="V1" t="s">
        <v>534</v>
      </c>
      <c r="W1" t="s">
        <v>535</v>
      </c>
      <c r="Z1" t="s">
        <v>536</v>
      </c>
    </row>
    <row r="2" spans="1:26">
      <c r="A2">
        <v>1</v>
      </c>
      <c r="B2" t="s">
        <v>537</v>
      </c>
      <c r="C2" t="s">
        <v>538</v>
      </c>
      <c r="D2" t="s">
        <v>539</v>
      </c>
      <c r="E2">
        <v>1</v>
      </c>
      <c r="F2">
        <v>-1</v>
      </c>
      <c r="G2" t="s">
        <v>540</v>
      </c>
      <c r="H2" t="s">
        <v>540</v>
      </c>
      <c r="I2" t="s">
        <v>541</v>
      </c>
      <c r="J2" t="s">
        <v>542</v>
      </c>
      <c r="K2" t="s">
        <v>543</v>
      </c>
      <c r="L2" t="s">
        <v>544</v>
      </c>
      <c r="M2" t="s">
        <v>545</v>
      </c>
      <c r="O2">
        <v>4</v>
      </c>
      <c r="P2" t="s">
        <v>546</v>
      </c>
      <c r="R2" t="s">
        <v>540</v>
      </c>
      <c r="S2" t="s">
        <v>540</v>
      </c>
      <c r="T2" t="s">
        <v>540</v>
      </c>
      <c r="U2" t="s">
        <v>540</v>
      </c>
      <c r="V2" t="s">
        <v>540</v>
      </c>
      <c r="W2" t="s">
        <v>547</v>
      </c>
      <c r="Z2">
        <v>1</v>
      </c>
    </row>
    <row r="3" spans="1:26">
      <c r="A3">
        <v>2</v>
      </c>
      <c r="B3" t="s">
        <v>548</v>
      </c>
      <c r="C3" t="s">
        <v>549</v>
      </c>
      <c r="D3" t="s">
        <v>550</v>
      </c>
      <c r="E3">
        <v>1</v>
      </c>
      <c r="F3">
        <v>-1</v>
      </c>
      <c r="G3" t="s">
        <v>540</v>
      </c>
      <c r="H3" t="s">
        <v>540</v>
      </c>
      <c r="I3" t="s">
        <v>551</v>
      </c>
      <c r="J3" t="s">
        <v>552</v>
      </c>
      <c r="K3" t="s">
        <v>553</v>
      </c>
      <c r="L3" t="s">
        <v>554</v>
      </c>
      <c r="M3" t="s">
        <v>555</v>
      </c>
      <c r="O3">
        <v>4</v>
      </c>
      <c r="P3" t="s">
        <v>556</v>
      </c>
      <c r="R3" t="s">
        <v>540</v>
      </c>
      <c r="S3" t="s">
        <v>540</v>
      </c>
      <c r="T3" t="s">
        <v>540</v>
      </c>
      <c r="U3" t="s">
        <v>540</v>
      </c>
      <c r="V3" t="s">
        <v>540</v>
      </c>
      <c r="W3" t="s">
        <v>557</v>
      </c>
      <c r="Z3">
        <v>2</v>
      </c>
    </row>
    <row r="4" spans="1:26">
      <c r="A4">
        <v>3</v>
      </c>
      <c r="B4" t="s">
        <v>558</v>
      </c>
      <c r="C4" t="s">
        <v>559</v>
      </c>
      <c r="D4" t="s">
        <v>560</v>
      </c>
      <c r="E4">
        <v>0</v>
      </c>
      <c r="F4" s="4">
        <v>0</v>
      </c>
      <c r="G4" t="s">
        <v>540</v>
      </c>
      <c r="H4" t="s">
        <v>540</v>
      </c>
      <c r="I4" t="s">
        <v>561</v>
      </c>
      <c r="J4" t="s">
        <v>562</v>
      </c>
      <c r="K4" t="s">
        <v>563</v>
      </c>
      <c r="L4" t="s">
        <v>564</v>
      </c>
      <c r="M4" t="s">
        <v>565</v>
      </c>
      <c r="O4">
        <v>4</v>
      </c>
      <c r="P4" t="s">
        <v>566</v>
      </c>
      <c r="R4" t="s">
        <v>540</v>
      </c>
      <c r="S4" t="s">
        <v>540</v>
      </c>
      <c r="T4" t="s">
        <v>540</v>
      </c>
      <c r="U4" t="s">
        <v>540</v>
      </c>
      <c r="V4" t="s">
        <v>540</v>
      </c>
      <c r="W4" t="s">
        <v>567</v>
      </c>
      <c r="Z4">
        <v>3</v>
      </c>
    </row>
    <row r="5" spans="1:26">
      <c r="A5">
        <v>4</v>
      </c>
      <c r="B5" t="s">
        <v>568</v>
      </c>
      <c r="C5" t="s">
        <v>569</v>
      </c>
      <c r="D5" t="s">
        <v>570</v>
      </c>
      <c r="E5">
        <v>0</v>
      </c>
      <c r="F5">
        <v>1</v>
      </c>
      <c r="G5" t="s">
        <v>540</v>
      </c>
      <c r="H5" t="s">
        <v>540</v>
      </c>
      <c r="I5" t="s">
        <v>571</v>
      </c>
      <c r="J5" t="s">
        <v>572</v>
      </c>
      <c r="K5" t="s">
        <v>573</v>
      </c>
      <c r="L5" t="s">
        <v>574</v>
      </c>
      <c r="M5" t="s">
        <v>575</v>
      </c>
      <c r="O5">
        <v>4</v>
      </c>
      <c r="P5" t="s">
        <v>576</v>
      </c>
      <c r="R5" t="s">
        <v>540</v>
      </c>
      <c r="S5" t="s">
        <v>540</v>
      </c>
      <c r="T5" t="s">
        <v>540</v>
      </c>
      <c r="U5" t="s">
        <v>540</v>
      </c>
      <c r="V5" t="s">
        <v>540</v>
      </c>
      <c r="W5" t="s">
        <v>577</v>
      </c>
      <c r="Z5">
        <v>4</v>
      </c>
    </row>
    <row r="6" spans="1:26">
      <c r="A6">
        <v>5</v>
      </c>
      <c r="B6" t="s">
        <v>578</v>
      </c>
      <c r="C6" t="s">
        <v>579</v>
      </c>
      <c r="D6" t="s">
        <v>539</v>
      </c>
      <c r="E6">
        <v>0</v>
      </c>
      <c r="F6">
        <v>1</v>
      </c>
      <c r="G6" t="s">
        <v>540</v>
      </c>
      <c r="H6" t="s">
        <v>540</v>
      </c>
      <c r="I6" t="s">
        <v>580</v>
      </c>
      <c r="J6" t="s">
        <v>581</v>
      </c>
      <c r="K6" t="s">
        <v>582</v>
      </c>
      <c r="L6" t="s">
        <v>583</v>
      </c>
      <c r="M6" t="s">
        <v>584</v>
      </c>
      <c r="O6">
        <v>4</v>
      </c>
      <c r="P6" t="s">
        <v>585</v>
      </c>
      <c r="R6" t="s">
        <v>540</v>
      </c>
      <c r="S6" t="s">
        <v>540</v>
      </c>
      <c r="T6" t="s">
        <v>540</v>
      </c>
      <c r="U6" t="s">
        <v>540</v>
      </c>
      <c r="V6" t="s">
        <v>540</v>
      </c>
      <c r="W6" t="s">
        <v>586</v>
      </c>
      <c r="Z6">
        <v>5</v>
      </c>
    </row>
    <row r="7" spans="1:26">
      <c r="A7">
        <v>6</v>
      </c>
      <c r="B7" t="s">
        <v>587</v>
      </c>
      <c r="C7" t="s">
        <v>588</v>
      </c>
      <c r="D7" t="s">
        <v>589</v>
      </c>
      <c r="E7">
        <v>1</v>
      </c>
      <c r="F7" s="4">
        <v>0</v>
      </c>
      <c r="G7" t="s">
        <v>540</v>
      </c>
      <c r="H7" t="s">
        <v>540</v>
      </c>
      <c r="I7" t="s">
        <v>590</v>
      </c>
      <c r="J7" t="s">
        <v>591</v>
      </c>
      <c r="K7" t="s">
        <v>592</v>
      </c>
      <c r="L7" t="s">
        <v>593</v>
      </c>
      <c r="M7" t="s">
        <v>594</v>
      </c>
      <c r="O7">
        <v>4</v>
      </c>
      <c r="P7" t="s">
        <v>595</v>
      </c>
      <c r="R7" t="s">
        <v>540</v>
      </c>
      <c r="S7" t="s">
        <v>540</v>
      </c>
      <c r="T7" t="s">
        <v>540</v>
      </c>
      <c r="U7" t="s">
        <v>540</v>
      </c>
      <c r="V7" t="s">
        <v>540</v>
      </c>
      <c r="W7" t="s">
        <v>596</v>
      </c>
      <c r="Z7">
        <v>6</v>
      </c>
    </row>
    <row r="8" spans="1:26">
      <c r="A8">
        <v>7</v>
      </c>
      <c r="B8" t="s">
        <v>597</v>
      </c>
      <c r="C8" t="s">
        <v>598</v>
      </c>
      <c r="D8" t="s">
        <v>570</v>
      </c>
      <c r="E8">
        <v>0</v>
      </c>
      <c r="F8">
        <v>1</v>
      </c>
      <c r="G8" t="s">
        <v>540</v>
      </c>
      <c r="H8" t="s">
        <v>540</v>
      </c>
      <c r="I8" t="s">
        <v>599</v>
      </c>
      <c r="J8" t="s">
        <v>600</v>
      </c>
      <c r="K8" t="s">
        <v>601</v>
      </c>
      <c r="L8" t="s">
        <v>602</v>
      </c>
      <c r="M8" t="s">
        <v>603</v>
      </c>
      <c r="O8">
        <v>4</v>
      </c>
      <c r="P8" t="s">
        <v>604</v>
      </c>
      <c r="R8" t="s">
        <v>540</v>
      </c>
      <c r="S8" t="s">
        <v>540</v>
      </c>
      <c r="T8" t="s">
        <v>540</v>
      </c>
      <c r="U8" t="s">
        <v>540</v>
      </c>
      <c r="V8" t="s">
        <v>540</v>
      </c>
      <c r="W8" t="s">
        <v>605</v>
      </c>
      <c r="Z8">
        <v>7</v>
      </c>
    </row>
    <row r="9" spans="1:26">
      <c r="A9">
        <v>8</v>
      </c>
      <c r="B9" t="s">
        <v>606</v>
      </c>
      <c r="C9" t="s">
        <v>607</v>
      </c>
      <c r="D9" t="s">
        <v>539</v>
      </c>
      <c r="E9">
        <v>0</v>
      </c>
      <c r="F9">
        <v>1</v>
      </c>
      <c r="G9" t="s">
        <v>540</v>
      </c>
      <c r="H9" t="s">
        <v>540</v>
      </c>
      <c r="I9" t="s">
        <v>608</v>
      </c>
      <c r="J9" t="s">
        <v>609</v>
      </c>
      <c r="K9" t="s">
        <v>610</v>
      </c>
      <c r="L9" t="s">
        <v>611</v>
      </c>
      <c r="M9" t="s">
        <v>612</v>
      </c>
      <c r="O9">
        <v>4</v>
      </c>
      <c r="P9" t="s">
        <v>613</v>
      </c>
      <c r="R9" t="s">
        <v>540</v>
      </c>
      <c r="S9" t="s">
        <v>540</v>
      </c>
      <c r="T9" t="s">
        <v>540</v>
      </c>
      <c r="U9" t="s">
        <v>540</v>
      </c>
      <c r="V9" t="s">
        <v>540</v>
      </c>
      <c r="W9" t="s">
        <v>614</v>
      </c>
      <c r="Z9">
        <v>8</v>
      </c>
    </row>
    <row r="10" spans="1:26">
      <c r="A10">
        <v>9</v>
      </c>
      <c r="B10" t="s">
        <v>615</v>
      </c>
      <c r="C10" t="s">
        <v>616</v>
      </c>
      <c r="D10" t="s">
        <v>589</v>
      </c>
      <c r="E10">
        <v>0</v>
      </c>
      <c r="F10">
        <v>1</v>
      </c>
      <c r="G10" t="s">
        <v>540</v>
      </c>
      <c r="H10" t="s">
        <v>540</v>
      </c>
      <c r="I10" t="s">
        <v>617</v>
      </c>
      <c r="J10" t="s">
        <v>618</v>
      </c>
      <c r="K10" t="s">
        <v>619</v>
      </c>
      <c r="L10" t="s">
        <v>620</v>
      </c>
      <c r="M10" t="s">
        <v>621</v>
      </c>
      <c r="O10">
        <v>4</v>
      </c>
      <c r="P10" t="s">
        <v>622</v>
      </c>
      <c r="R10" t="s">
        <v>540</v>
      </c>
      <c r="S10" t="s">
        <v>540</v>
      </c>
      <c r="T10" t="s">
        <v>540</v>
      </c>
      <c r="U10" t="s">
        <v>540</v>
      </c>
      <c r="V10" t="s">
        <v>540</v>
      </c>
      <c r="W10" t="s">
        <v>623</v>
      </c>
      <c r="Z10">
        <v>9</v>
      </c>
    </row>
    <row r="11" spans="1:26">
      <c r="A11">
        <v>10</v>
      </c>
      <c r="B11" t="s">
        <v>624</v>
      </c>
      <c r="C11" t="s">
        <v>625</v>
      </c>
      <c r="D11" t="s">
        <v>589</v>
      </c>
      <c r="E11">
        <v>1</v>
      </c>
      <c r="F11">
        <v>0</v>
      </c>
      <c r="G11" t="s">
        <v>540</v>
      </c>
      <c r="H11" t="s">
        <v>540</v>
      </c>
      <c r="I11" t="s">
        <v>626</v>
      </c>
      <c r="J11" t="s">
        <v>627</v>
      </c>
      <c r="K11" t="s">
        <v>628</v>
      </c>
      <c r="L11" t="s">
        <v>629</v>
      </c>
      <c r="M11" t="s">
        <v>630</v>
      </c>
      <c r="O11">
        <v>4</v>
      </c>
      <c r="P11" t="s">
        <v>631</v>
      </c>
      <c r="R11" t="s">
        <v>540</v>
      </c>
      <c r="S11" t="s">
        <v>540</v>
      </c>
      <c r="T11" t="s">
        <v>540</v>
      </c>
      <c r="U11" t="s">
        <v>540</v>
      </c>
      <c r="V11" t="s">
        <v>540</v>
      </c>
      <c r="W11" t="s">
        <v>632</v>
      </c>
      <c r="Z11">
        <v>10</v>
      </c>
    </row>
    <row r="12" spans="1:26">
      <c r="A12">
        <v>11</v>
      </c>
      <c r="B12" t="s">
        <v>633</v>
      </c>
      <c r="C12" t="s">
        <v>634</v>
      </c>
      <c r="D12" t="s">
        <v>589</v>
      </c>
      <c r="E12">
        <v>0</v>
      </c>
      <c r="F12" s="4">
        <v>0</v>
      </c>
      <c r="G12" t="s">
        <v>540</v>
      </c>
      <c r="H12" t="s">
        <v>540</v>
      </c>
      <c r="I12" t="s">
        <v>635</v>
      </c>
      <c r="J12" t="s">
        <v>636</v>
      </c>
      <c r="K12" t="s">
        <v>637</v>
      </c>
      <c r="L12" t="s">
        <v>638</v>
      </c>
      <c r="M12" t="s">
        <v>639</v>
      </c>
      <c r="O12">
        <v>4</v>
      </c>
      <c r="P12" t="s">
        <v>640</v>
      </c>
      <c r="R12" t="s">
        <v>540</v>
      </c>
      <c r="S12" t="s">
        <v>540</v>
      </c>
      <c r="T12" t="s">
        <v>540</v>
      </c>
      <c r="U12" t="s">
        <v>540</v>
      </c>
      <c r="V12" t="s">
        <v>540</v>
      </c>
      <c r="W12" t="s">
        <v>641</v>
      </c>
      <c r="Z12">
        <v>11</v>
      </c>
    </row>
    <row r="13" spans="1:26">
      <c r="A13">
        <v>12</v>
      </c>
      <c r="B13" t="s">
        <v>642</v>
      </c>
      <c r="C13" t="s">
        <v>509</v>
      </c>
      <c r="D13" t="s">
        <v>643</v>
      </c>
      <c r="E13">
        <v>1</v>
      </c>
      <c r="F13" s="4">
        <v>0</v>
      </c>
      <c r="G13" t="s">
        <v>540</v>
      </c>
      <c r="H13" t="s">
        <v>644</v>
      </c>
      <c r="I13" t="s">
        <v>645</v>
      </c>
      <c r="J13" t="s">
        <v>646</v>
      </c>
      <c r="K13" t="s">
        <v>647</v>
      </c>
      <c r="L13" t="s">
        <v>648</v>
      </c>
      <c r="M13" t="s">
        <v>540</v>
      </c>
      <c r="O13">
        <v>4</v>
      </c>
      <c r="P13" t="s">
        <v>649</v>
      </c>
      <c r="R13" t="s">
        <v>540</v>
      </c>
      <c r="S13" t="s">
        <v>540</v>
      </c>
      <c r="T13" t="s">
        <v>540</v>
      </c>
      <c r="U13" t="s">
        <v>540</v>
      </c>
      <c r="V13" t="s">
        <v>540</v>
      </c>
      <c r="W13" t="s">
        <v>547</v>
      </c>
      <c r="Z13">
        <v>2.5</v>
      </c>
    </row>
    <row r="14" spans="1:26">
      <c r="A14">
        <v>13</v>
      </c>
      <c r="B14" t="s">
        <v>650</v>
      </c>
      <c r="C14" t="s">
        <v>651</v>
      </c>
      <c r="D14" t="s">
        <v>652</v>
      </c>
      <c r="E14">
        <v>5</v>
      </c>
      <c r="F14">
        <v>1</v>
      </c>
      <c r="G14" t="s">
        <v>653</v>
      </c>
      <c r="H14" t="s">
        <v>540</v>
      </c>
      <c r="I14" t="s">
        <v>654</v>
      </c>
      <c r="J14" t="s">
        <v>655</v>
      </c>
      <c r="K14" t="s">
        <v>637</v>
      </c>
      <c r="L14" t="s">
        <v>656</v>
      </c>
      <c r="M14" t="s">
        <v>540</v>
      </c>
      <c r="O14">
        <v>4</v>
      </c>
      <c r="P14" t="s">
        <v>657</v>
      </c>
      <c r="R14" t="s">
        <v>540</v>
      </c>
      <c r="S14" t="s">
        <v>540</v>
      </c>
      <c r="T14" t="s">
        <v>540</v>
      </c>
      <c r="U14" t="s">
        <v>540</v>
      </c>
      <c r="V14" t="s">
        <v>540</v>
      </c>
      <c r="W14" t="s">
        <v>641</v>
      </c>
      <c r="Z14">
        <v>13</v>
      </c>
    </row>
    <row r="15" spans="1:26">
      <c r="A15">
        <v>14</v>
      </c>
      <c r="B15" t="s">
        <v>658</v>
      </c>
      <c r="C15" t="s">
        <v>659</v>
      </c>
      <c r="D15" t="s">
        <v>539</v>
      </c>
      <c r="E15">
        <v>1</v>
      </c>
      <c r="F15">
        <v>-1</v>
      </c>
      <c r="G15" t="s">
        <v>540</v>
      </c>
      <c r="H15" t="s">
        <v>540</v>
      </c>
      <c r="I15" t="s">
        <v>660</v>
      </c>
      <c r="J15" t="s">
        <v>661</v>
      </c>
      <c r="K15" t="s">
        <v>662</v>
      </c>
      <c r="L15" t="s">
        <v>663</v>
      </c>
      <c r="M15" t="s">
        <v>664</v>
      </c>
      <c r="O15">
        <v>4</v>
      </c>
      <c r="P15" t="s">
        <v>665</v>
      </c>
      <c r="R15">
        <v>60</v>
      </c>
      <c r="S15">
        <v>140</v>
      </c>
      <c r="T15">
        <v>60</v>
      </c>
      <c r="U15">
        <v>140</v>
      </c>
      <c r="V15">
        <v>10</v>
      </c>
      <c r="W15" t="s">
        <v>666</v>
      </c>
      <c r="Z15">
        <v>2.7</v>
      </c>
    </row>
    <row r="16" spans="1:26">
      <c r="A16">
        <v>15</v>
      </c>
      <c r="B16" t="s">
        <v>667</v>
      </c>
      <c r="C16" t="s">
        <v>668</v>
      </c>
      <c r="D16" t="s">
        <v>669</v>
      </c>
      <c r="E16">
        <v>0</v>
      </c>
      <c r="F16">
        <v>1</v>
      </c>
      <c r="G16" t="s">
        <v>540</v>
      </c>
      <c r="H16" t="s">
        <v>540</v>
      </c>
      <c r="I16" t="s">
        <v>670</v>
      </c>
      <c r="J16" t="s">
        <v>671</v>
      </c>
      <c r="K16" t="s">
        <v>540</v>
      </c>
      <c r="L16" t="s">
        <v>540</v>
      </c>
      <c r="M16" t="s">
        <v>672</v>
      </c>
      <c r="O16">
        <v>4</v>
      </c>
      <c r="P16" t="s">
        <v>673</v>
      </c>
      <c r="R16">
        <v>300</v>
      </c>
      <c r="S16">
        <v>1000</v>
      </c>
      <c r="T16">
        <v>300</v>
      </c>
      <c r="U16">
        <v>1000</v>
      </c>
      <c r="V16">
        <v>100</v>
      </c>
      <c r="W16" t="s">
        <v>674</v>
      </c>
      <c r="Z16">
        <v>11.5</v>
      </c>
    </row>
    <row r="17" spans="1:26">
      <c r="A17">
        <v>16</v>
      </c>
      <c r="B17" t="s">
        <v>675</v>
      </c>
      <c r="C17" t="s">
        <v>676</v>
      </c>
      <c r="D17" t="s">
        <v>589</v>
      </c>
      <c r="E17">
        <v>0</v>
      </c>
      <c r="F17">
        <v>1</v>
      </c>
      <c r="G17" t="s">
        <v>540</v>
      </c>
      <c r="H17" t="s">
        <v>540</v>
      </c>
      <c r="I17" t="s">
        <v>677</v>
      </c>
      <c r="J17" t="s">
        <v>678</v>
      </c>
      <c r="K17" t="s">
        <v>540</v>
      </c>
      <c r="L17" t="s">
        <v>540</v>
      </c>
      <c r="M17" t="s">
        <v>679</v>
      </c>
      <c r="O17">
        <v>4</v>
      </c>
      <c r="P17" t="s">
        <v>680</v>
      </c>
      <c r="R17">
        <v>0</v>
      </c>
      <c r="S17">
        <v>240</v>
      </c>
      <c r="T17">
        <v>0</v>
      </c>
      <c r="U17">
        <v>240</v>
      </c>
      <c r="V17">
        <v>10</v>
      </c>
      <c r="W17" t="s">
        <v>540</v>
      </c>
      <c r="Z17">
        <v>7.5</v>
      </c>
    </row>
    <row r="18" spans="1:26">
      <c r="A18">
        <v>17</v>
      </c>
      <c r="B18" t="s">
        <v>681</v>
      </c>
      <c r="C18" t="s">
        <v>682</v>
      </c>
      <c r="D18" t="s">
        <v>550</v>
      </c>
      <c r="E18">
        <v>1</v>
      </c>
      <c r="F18">
        <v>1</v>
      </c>
      <c r="G18" t="s">
        <v>540</v>
      </c>
      <c r="H18" t="s">
        <v>540</v>
      </c>
      <c r="I18" t="s">
        <v>683</v>
      </c>
      <c r="J18" t="s">
        <v>684</v>
      </c>
      <c r="K18" t="s">
        <v>540</v>
      </c>
      <c r="L18" t="s">
        <v>540</v>
      </c>
      <c r="M18" t="s">
        <v>685</v>
      </c>
      <c r="O18">
        <v>4</v>
      </c>
      <c r="P18" t="s">
        <v>686</v>
      </c>
      <c r="R18">
        <v>10</v>
      </c>
      <c r="S18">
        <v>75</v>
      </c>
      <c r="T18">
        <v>10</v>
      </c>
      <c r="U18">
        <v>50</v>
      </c>
      <c r="V18">
        <v>5</v>
      </c>
      <c r="W18" t="s">
        <v>687</v>
      </c>
      <c r="Z18">
        <v>9.5</v>
      </c>
    </row>
    <row r="19" spans="1:26">
      <c r="A19">
        <v>18</v>
      </c>
      <c r="B19" t="s">
        <v>688</v>
      </c>
      <c r="C19" t="s">
        <v>689</v>
      </c>
      <c r="D19" t="s">
        <v>539</v>
      </c>
      <c r="E19">
        <v>0</v>
      </c>
      <c r="F19">
        <v>1</v>
      </c>
      <c r="G19" t="s">
        <v>540</v>
      </c>
      <c r="H19" t="s">
        <v>540</v>
      </c>
      <c r="I19" t="s">
        <v>690</v>
      </c>
      <c r="J19" t="s">
        <v>691</v>
      </c>
      <c r="K19" t="s">
        <v>540</v>
      </c>
      <c r="L19" t="s">
        <v>540</v>
      </c>
      <c r="M19" t="s">
        <v>692</v>
      </c>
      <c r="O19">
        <v>4</v>
      </c>
      <c r="P19" t="s">
        <v>693</v>
      </c>
      <c r="R19">
        <v>0</v>
      </c>
      <c r="S19">
        <v>55</v>
      </c>
      <c r="T19">
        <v>0</v>
      </c>
      <c r="U19">
        <v>55</v>
      </c>
      <c r="V19">
        <v>5</v>
      </c>
      <c r="W19" t="s">
        <v>694</v>
      </c>
      <c r="Z19">
        <v>8.5</v>
      </c>
    </row>
    <row r="20" spans="1:26">
      <c r="A20">
        <v>19</v>
      </c>
      <c r="B20" t="s">
        <v>695</v>
      </c>
      <c r="C20" t="s">
        <v>696</v>
      </c>
      <c r="D20" t="s">
        <v>539</v>
      </c>
      <c r="E20">
        <v>0</v>
      </c>
      <c r="F20">
        <v>1</v>
      </c>
      <c r="G20" t="s">
        <v>540</v>
      </c>
      <c r="H20" t="s">
        <v>540</v>
      </c>
      <c r="I20" t="s">
        <v>697</v>
      </c>
      <c r="J20" t="s">
        <v>698</v>
      </c>
      <c r="K20" t="s">
        <v>540</v>
      </c>
      <c r="L20" t="s">
        <v>540</v>
      </c>
      <c r="M20" t="s">
        <v>699</v>
      </c>
      <c r="O20">
        <v>4</v>
      </c>
      <c r="P20" t="s">
        <v>700</v>
      </c>
      <c r="R20">
        <v>10</v>
      </c>
      <c r="S20">
        <v>95</v>
      </c>
      <c r="T20">
        <v>10</v>
      </c>
      <c r="U20">
        <v>85</v>
      </c>
      <c r="V20">
        <v>5</v>
      </c>
      <c r="W20" t="s">
        <v>701</v>
      </c>
      <c r="Z20">
        <v>5.5</v>
      </c>
    </row>
    <row r="21" spans="1:26">
      <c r="A21">
        <v>20</v>
      </c>
      <c r="B21" t="s">
        <v>702</v>
      </c>
      <c r="C21" t="s">
        <v>703</v>
      </c>
      <c r="D21" t="s">
        <v>589</v>
      </c>
      <c r="E21">
        <v>1</v>
      </c>
      <c r="F21">
        <v>0</v>
      </c>
      <c r="G21" t="s">
        <v>540</v>
      </c>
      <c r="H21" t="s">
        <v>540</v>
      </c>
      <c r="I21" t="s">
        <v>704</v>
      </c>
      <c r="J21" t="s">
        <v>705</v>
      </c>
      <c r="K21" t="s">
        <v>540</v>
      </c>
      <c r="L21" t="s">
        <v>540</v>
      </c>
      <c r="M21" t="s">
        <v>706</v>
      </c>
      <c r="O21">
        <v>4</v>
      </c>
      <c r="P21" t="s">
        <v>707</v>
      </c>
      <c r="R21">
        <v>8</v>
      </c>
      <c r="S21">
        <v>15</v>
      </c>
      <c r="T21">
        <v>8</v>
      </c>
      <c r="U21">
        <v>30</v>
      </c>
      <c r="V21">
        <v>1</v>
      </c>
      <c r="W21" t="s">
        <v>540</v>
      </c>
      <c r="Z21">
        <v>4.5</v>
      </c>
    </row>
    <row r="22" spans="1:26">
      <c r="A22">
        <v>26</v>
      </c>
      <c r="B22" t="s">
        <v>708</v>
      </c>
      <c r="C22" t="s">
        <v>709</v>
      </c>
      <c r="D22" t="s">
        <v>570</v>
      </c>
      <c r="E22">
        <v>0</v>
      </c>
      <c r="F22">
        <v>1</v>
      </c>
      <c r="G22" t="s">
        <v>540</v>
      </c>
      <c r="H22" t="s">
        <v>540</v>
      </c>
      <c r="I22" t="s">
        <v>540</v>
      </c>
      <c r="J22" t="s">
        <v>540</v>
      </c>
      <c r="K22" t="s">
        <v>540</v>
      </c>
      <c r="L22" t="s">
        <v>540</v>
      </c>
      <c r="M22" t="s">
        <v>540</v>
      </c>
      <c r="O22">
        <v>4</v>
      </c>
      <c r="P22" t="s">
        <v>710</v>
      </c>
      <c r="R22">
        <v>0</v>
      </c>
      <c r="S22">
        <v>45</v>
      </c>
      <c r="T22">
        <v>0</v>
      </c>
      <c r="U22">
        <v>45</v>
      </c>
      <c r="V22">
        <v>5</v>
      </c>
      <c r="W22" t="s">
        <v>711</v>
      </c>
      <c r="Z22">
        <v>7.5</v>
      </c>
    </row>
    <row r="23" spans="1:26">
      <c r="A23">
        <v>27</v>
      </c>
      <c r="B23" t="s">
        <v>712</v>
      </c>
      <c r="C23" t="s">
        <v>713</v>
      </c>
      <c r="D23" t="s">
        <v>589</v>
      </c>
      <c r="E23">
        <v>1</v>
      </c>
      <c r="F23">
        <v>0</v>
      </c>
      <c r="G23" t="s">
        <v>540</v>
      </c>
      <c r="H23" t="s">
        <v>540</v>
      </c>
      <c r="I23" t="s">
        <v>540</v>
      </c>
      <c r="J23" t="s">
        <v>540</v>
      </c>
      <c r="K23" t="s">
        <v>540</v>
      </c>
      <c r="L23" t="s">
        <v>540</v>
      </c>
      <c r="M23" t="s">
        <v>540</v>
      </c>
      <c r="O23">
        <v>4</v>
      </c>
      <c r="P23" t="s">
        <v>714</v>
      </c>
      <c r="R23">
        <v>4</v>
      </c>
      <c r="S23">
        <v>9</v>
      </c>
      <c r="T23">
        <v>4</v>
      </c>
      <c r="U23">
        <v>14</v>
      </c>
      <c r="V23">
        <v>1</v>
      </c>
      <c r="W23" t="s">
        <v>715</v>
      </c>
      <c r="Z23">
        <v>6.5</v>
      </c>
    </row>
    <row r="24" spans="1:26">
      <c r="A24">
        <v>28</v>
      </c>
      <c r="B24" t="s">
        <v>716</v>
      </c>
      <c r="C24" t="s">
        <v>717</v>
      </c>
      <c r="D24" t="s">
        <v>570</v>
      </c>
      <c r="E24">
        <v>0</v>
      </c>
      <c r="F24">
        <v>1</v>
      </c>
      <c r="G24" t="s">
        <v>540</v>
      </c>
      <c r="H24" t="s">
        <v>540</v>
      </c>
      <c r="I24" t="s">
        <v>718</v>
      </c>
      <c r="J24" t="s">
        <v>719</v>
      </c>
      <c r="K24" t="s">
        <v>540</v>
      </c>
      <c r="L24" t="s">
        <v>540</v>
      </c>
      <c r="M24" t="s">
        <v>720</v>
      </c>
      <c r="O24">
        <v>4</v>
      </c>
      <c r="P24" t="s">
        <v>721</v>
      </c>
      <c r="R24">
        <v>0</v>
      </c>
      <c r="S24">
        <v>60</v>
      </c>
      <c r="T24">
        <v>0</v>
      </c>
      <c r="U24">
        <v>60</v>
      </c>
      <c r="V24">
        <v>5</v>
      </c>
      <c r="W24" t="s">
        <v>540</v>
      </c>
      <c r="Z24">
        <v>11.8</v>
      </c>
    </row>
    <row r="25" spans="1:26">
      <c r="A25">
        <v>29</v>
      </c>
      <c r="B25" t="s">
        <v>722</v>
      </c>
      <c r="C25" t="s">
        <v>723</v>
      </c>
      <c r="D25" t="s">
        <v>570</v>
      </c>
      <c r="E25">
        <v>0</v>
      </c>
      <c r="F25">
        <v>1</v>
      </c>
      <c r="G25" t="s">
        <v>540</v>
      </c>
      <c r="H25" t="s">
        <v>540</v>
      </c>
      <c r="I25" t="s">
        <v>724</v>
      </c>
      <c r="J25" t="s">
        <v>725</v>
      </c>
      <c r="K25" t="s">
        <v>540</v>
      </c>
      <c r="L25" t="s">
        <v>540</v>
      </c>
      <c r="M25" t="s">
        <v>726</v>
      </c>
      <c r="O25">
        <v>4</v>
      </c>
      <c r="P25" t="s">
        <v>727</v>
      </c>
      <c r="R25">
        <v>0</v>
      </c>
      <c r="S25">
        <v>60</v>
      </c>
      <c r="T25">
        <v>0</v>
      </c>
      <c r="U25">
        <v>60</v>
      </c>
      <c r="V25">
        <v>5</v>
      </c>
      <c r="W25" t="s">
        <v>540</v>
      </c>
      <c r="Z25">
        <v>7.8</v>
      </c>
    </row>
    <row r="26" spans="1:26">
      <c r="A26">
        <v>31</v>
      </c>
      <c r="B26" t="s">
        <v>728</v>
      </c>
      <c r="C26" t="s">
        <v>729</v>
      </c>
      <c r="D26" t="s">
        <v>539</v>
      </c>
      <c r="E26">
        <v>1</v>
      </c>
      <c r="F26">
        <v>0</v>
      </c>
      <c r="G26" t="s">
        <v>540</v>
      </c>
      <c r="H26" t="s">
        <v>540</v>
      </c>
      <c r="I26" t="s">
        <v>730</v>
      </c>
      <c r="J26" t="s">
        <v>731</v>
      </c>
      <c r="K26" t="s">
        <v>540</v>
      </c>
      <c r="L26" t="s">
        <v>540</v>
      </c>
      <c r="M26" t="s">
        <v>732</v>
      </c>
      <c r="O26">
        <v>4</v>
      </c>
      <c r="P26" t="s">
        <v>733</v>
      </c>
      <c r="R26">
        <v>-50</v>
      </c>
      <c r="S26">
        <v>30</v>
      </c>
      <c r="T26">
        <v>-50</v>
      </c>
      <c r="U26">
        <v>30</v>
      </c>
      <c r="V26">
        <v>5</v>
      </c>
      <c r="W26" t="s">
        <v>540</v>
      </c>
      <c r="Z26">
        <v>8.8000000000000007</v>
      </c>
    </row>
    <row r="27" spans="1:26">
      <c r="A27">
        <v>32</v>
      </c>
      <c r="B27" t="s">
        <v>734</v>
      </c>
      <c r="C27" t="s">
        <v>735</v>
      </c>
      <c r="D27" t="s">
        <v>539</v>
      </c>
      <c r="E27">
        <v>1</v>
      </c>
      <c r="F27">
        <v>0</v>
      </c>
      <c r="G27" t="s">
        <v>540</v>
      </c>
      <c r="H27" t="s">
        <v>540</v>
      </c>
      <c r="I27" t="s">
        <v>736</v>
      </c>
      <c r="J27" t="s">
        <v>737</v>
      </c>
      <c r="K27" t="s">
        <v>540</v>
      </c>
      <c r="L27" t="s">
        <v>540</v>
      </c>
      <c r="M27" t="s">
        <v>738</v>
      </c>
      <c r="O27">
        <v>4</v>
      </c>
      <c r="P27" t="s">
        <v>739</v>
      </c>
      <c r="R27">
        <v>-50</v>
      </c>
      <c r="S27">
        <v>30</v>
      </c>
      <c r="T27">
        <v>-50</v>
      </c>
      <c r="U27">
        <v>30</v>
      </c>
      <c r="V27">
        <v>5</v>
      </c>
      <c r="W27" t="s">
        <v>540</v>
      </c>
      <c r="Z27">
        <v>8.9</v>
      </c>
    </row>
    <row r="28" spans="1:26">
      <c r="A28">
        <v>33</v>
      </c>
      <c r="B28" t="s">
        <v>740</v>
      </c>
      <c r="C28" t="s">
        <v>741</v>
      </c>
      <c r="D28" t="s">
        <v>589</v>
      </c>
      <c r="E28">
        <v>1</v>
      </c>
      <c r="F28">
        <v>0</v>
      </c>
      <c r="G28" t="s">
        <v>540</v>
      </c>
      <c r="H28" t="s">
        <v>540</v>
      </c>
      <c r="I28" t="s">
        <v>742</v>
      </c>
      <c r="J28" t="s">
        <v>743</v>
      </c>
      <c r="K28" t="s">
        <v>540</v>
      </c>
      <c r="L28" t="s">
        <v>540</v>
      </c>
      <c r="M28" t="s">
        <v>744</v>
      </c>
      <c r="O28">
        <v>4</v>
      </c>
      <c r="P28" t="s">
        <v>745</v>
      </c>
      <c r="R28">
        <v>0</v>
      </c>
      <c r="S28">
        <v>30</v>
      </c>
      <c r="T28">
        <v>0</v>
      </c>
      <c r="U28">
        <v>30</v>
      </c>
      <c r="V28">
        <v>5</v>
      </c>
      <c r="W28" t="s">
        <v>540</v>
      </c>
      <c r="Z28">
        <v>6.8</v>
      </c>
    </row>
    <row r="29" spans="1:26">
      <c r="A29">
        <v>34</v>
      </c>
      <c r="B29" t="s">
        <v>746</v>
      </c>
      <c r="C29" t="s">
        <v>747</v>
      </c>
      <c r="D29" t="s">
        <v>570</v>
      </c>
      <c r="E29">
        <v>0</v>
      </c>
      <c r="F29">
        <v>1</v>
      </c>
      <c r="G29" t="s">
        <v>540</v>
      </c>
      <c r="H29" t="s">
        <v>540</v>
      </c>
      <c r="I29" t="s">
        <v>748</v>
      </c>
      <c r="J29" t="s">
        <v>749</v>
      </c>
      <c r="K29" t="s">
        <v>540</v>
      </c>
      <c r="L29" t="s">
        <v>540</v>
      </c>
      <c r="M29" t="s">
        <v>750</v>
      </c>
      <c r="O29">
        <v>4</v>
      </c>
      <c r="P29" t="s">
        <v>751</v>
      </c>
      <c r="R29">
        <v>0</v>
      </c>
      <c r="S29">
        <v>300</v>
      </c>
      <c r="T29">
        <v>0</v>
      </c>
      <c r="U29">
        <v>300</v>
      </c>
      <c r="V29">
        <v>20</v>
      </c>
      <c r="W29" t="s">
        <v>540</v>
      </c>
      <c r="Z29">
        <v>11.8</v>
      </c>
    </row>
    <row r="30" spans="1:26">
      <c r="A30">
        <v>35</v>
      </c>
      <c r="B30" t="s">
        <v>752</v>
      </c>
      <c r="C30" t="s">
        <v>753</v>
      </c>
      <c r="D30" t="s">
        <v>754</v>
      </c>
      <c r="E30">
        <v>1</v>
      </c>
      <c r="F30">
        <v>1</v>
      </c>
      <c r="G30" t="s">
        <v>540</v>
      </c>
      <c r="H30" t="s">
        <v>540</v>
      </c>
      <c r="I30" t="s">
        <v>755</v>
      </c>
      <c r="J30" t="s">
        <v>756</v>
      </c>
      <c r="K30" t="s">
        <v>757</v>
      </c>
      <c r="L30" t="s">
        <v>540</v>
      </c>
      <c r="M30" t="s">
        <v>758</v>
      </c>
      <c r="O30">
        <v>4</v>
      </c>
      <c r="P30" t="s">
        <v>759</v>
      </c>
      <c r="R30" t="s">
        <v>540</v>
      </c>
      <c r="S30" t="s">
        <v>540</v>
      </c>
      <c r="T30" t="s">
        <v>540</v>
      </c>
      <c r="U30" t="s">
        <v>540</v>
      </c>
      <c r="V30" t="s">
        <v>540</v>
      </c>
      <c r="W30" t="s">
        <v>760</v>
      </c>
      <c r="Z30">
        <v>11.7</v>
      </c>
    </row>
  </sheetData>
  <conditionalFormatting sqref="F1:F30">
    <cfRule type="cellIs" dxfId="0" priority="1" operator="equal">
      <formula>0</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94BFE-C2D7-412A-A437-3169653CCC05}">
  <dimension ref="A1:F13"/>
  <sheetViews>
    <sheetView workbookViewId="0">
      <selection activeCell="A7" sqref="A7:B7"/>
    </sheetView>
  </sheetViews>
  <sheetFormatPr defaultRowHeight="14.45"/>
  <cols>
    <col min="5" max="5" width="18.7109375" bestFit="1" customWidth="1"/>
  </cols>
  <sheetData>
    <row r="1" spans="1:6">
      <c r="A1" t="s">
        <v>0</v>
      </c>
      <c r="B1" t="s">
        <v>8</v>
      </c>
      <c r="E1" t="s">
        <v>761</v>
      </c>
      <c r="F1" t="s">
        <v>762</v>
      </c>
    </row>
    <row r="2" spans="1:6">
      <c r="A2">
        <v>9</v>
      </c>
      <c r="B2" t="s">
        <v>271</v>
      </c>
      <c r="E2" t="s">
        <v>271</v>
      </c>
      <c r="F2">
        <v>45</v>
      </c>
    </row>
    <row r="3" spans="1:6">
      <c r="A3">
        <v>11</v>
      </c>
      <c r="B3" t="s">
        <v>317</v>
      </c>
      <c r="E3" t="s">
        <v>317</v>
      </c>
      <c r="F3">
        <v>43</v>
      </c>
    </row>
    <row r="4" spans="1:6">
      <c r="A4">
        <v>7</v>
      </c>
      <c r="B4" t="s">
        <v>57</v>
      </c>
      <c r="E4" t="s">
        <v>57</v>
      </c>
      <c r="F4">
        <v>47</v>
      </c>
    </row>
    <row r="5" spans="1:6">
      <c r="A5">
        <v>3</v>
      </c>
      <c r="B5" t="s">
        <v>184</v>
      </c>
      <c r="E5" t="s">
        <v>184</v>
      </c>
      <c r="F5">
        <v>19</v>
      </c>
    </row>
    <row r="6" spans="1:6">
      <c r="A6">
        <v>12</v>
      </c>
      <c r="B6" t="s">
        <v>361</v>
      </c>
      <c r="E6" t="s">
        <v>361</v>
      </c>
      <c r="F6">
        <v>27</v>
      </c>
    </row>
    <row r="7" spans="1:6">
      <c r="A7">
        <v>8</v>
      </c>
      <c r="B7" t="s">
        <v>11</v>
      </c>
      <c r="E7" t="s">
        <v>11</v>
      </c>
      <c r="F7">
        <v>61</v>
      </c>
    </row>
    <row r="8" spans="1:6">
      <c r="A8">
        <v>2</v>
      </c>
      <c r="B8" t="s">
        <v>106</v>
      </c>
      <c r="E8" t="s">
        <v>106</v>
      </c>
      <c r="F8">
        <v>79</v>
      </c>
    </row>
    <row r="9" spans="1:6">
      <c r="A9">
        <v>1</v>
      </c>
      <c r="B9" t="s">
        <v>461</v>
      </c>
      <c r="E9" t="s">
        <v>461</v>
      </c>
      <c r="F9">
        <v>37</v>
      </c>
    </row>
    <row r="10" spans="1:6">
      <c r="A10">
        <v>6</v>
      </c>
      <c r="B10" t="s">
        <v>102</v>
      </c>
      <c r="E10" t="s">
        <v>102</v>
      </c>
      <c r="F10">
        <v>30</v>
      </c>
    </row>
    <row r="11" spans="1:6">
      <c r="A11">
        <v>10</v>
      </c>
      <c r="B11" t="s">
        <v>86</v>
      </c>
      <c r="E11" t="s">
        <v>86</v>
      </c>
      <c r="F11">
        <v>17</v>
      </c>
    </row>
    <row r="12" spans="1:6">
      <c r="A12">
        <v>4</v>
      </c>
      <c r="B12" t="s">
        <v>206</v>
      </c>
      <c r="E12" t="s">
        <v>206</v>
      </c>
      <c r="F12">
        <v>64</v>
      </c>
    </row>
    <row r="13" spans="1:6">
      <c r="A13">
        <v>5</v>
      </c>
      <c r="B13" t="s">
        <v>39</v>
      </c>
      <c r="E13" t="s">
        <v>39</v>
      </c>
      <c r="F13">
        <v>9</v>
      </c>
    </row>
  </sheetData>
  <sortState xmlns:xlrd2="http://schemas.microsoft.com/office/spreadsheetml/2017/richdata2" ref="E2:F13">
    <sortCondition ref="E2:E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Leskošek, Bojan</dc:creator>
  <cp:keywords/>
  <dc:description/>
  <cp:lastModifiedBy/>
  <cp:revision/>
  <dcterms:created xsi:type="dcterms:W3CDTF">2026-04-01T17:34:01Z</dcterms:created>
  <dcterms:modified xsi:type="dcterms:W3CDTF">2026-04-19T13:22:46Z</dcterms:modified>
  <cp:category/>
  <cp:contentStatus/>
</cp:coreProperties>
</file>