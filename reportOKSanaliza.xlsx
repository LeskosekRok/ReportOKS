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13_ncr:1_{785D18C7-D0DB-45E0-A1B9-6B10CB636E04}" xr6:coauthVersionLast="47" xr6:coauthVersionMax="47" xr10:uidLastSave="{00000000-0000-0000-0000-000000000000}"/>
  <bookViews>
    <workbookView xWindow="-108" yWindow="-108" windowWidth="23256" windowHeight="12456" activeTab="1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</sheets>
  <calcPr calcId="19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G3" i="7"/>
  <c r="H3" i="7"/>
  <c r="I3" i="7"/>
  <c r="H2" i="7"/>
  <c r="I2" i="7"/>
  <c r="G2" i="7"/>
  <c r="H1" i="7"/>
  <c r="I1" i="7"/>
  <c r="G1" i="7"/>
  <c r="F3" i="7"/>
  <c r="F2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tc={405F762F-FEDE-4B39-BCD0-72D378326FD0}</author>
  </authors>
  <commentList>
    <comment ref="A1" authorId="0" shapeId="0" xr:uid="{405F762F-FEDE-4B39-BCD0-72D378326F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Stat po regijah:
SELECT
    rgn.Name AS Regija,
    t.Ime AS Test,
    AVG(r.CentilniRang1) AS CentilXA,
    COUNT(r.CentilniRang1) AS N
FROM TestVbateriji tv
JOIN Test t 
    ON t.ID = tv.IdTest
JOIN Rezultat r
    ON r.IdTest = t.ID
JOIN Merjenec m 
    ON m.ID = r.IdMerjenec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= 20   -- vključi samo teste baterije 20
GROUP BY 
    rgn.Name,
    t.Ime,
    tv.PrioritetaPrikaza
ORDER BY 
    rgn.Name ASC,
    tv.PrioritetaPrikaza ASC;
Reply:
    --statistike meritve (centili) ločeno po testu za udeležence OKS projekta Zmigaj_se_do_vadbe (ZV) - regije in SLO
--BL, 2026-04-01
--centili Slovenija
SELECT
    t.Ime AS Test,
    AVG(r.CentilniRang1) AS CentilXA,
    COUNT(r.CentilniRang1) AS N --,
    --tv.PrioritetaPrikaza
FROM TestVbateriji tv
JOIN Test t 
    ON t.ID = tv.IdTest
JOIN Rezultat r
    ON r.IdTest = t.ID
JOIN Merjenec m 
    ON m.ID = r.IdMerjenec
JOIN DostopUporabnikaDoClana du
    ON du.IdClan = m.IdClan
WHERE --tv.IdBaterija = 20  AND          -- testi iz baterije 20
   du.IdVloga = 10               -- samo merjenci z vlogo 10
  AND r.CentilniRang1 IS NOT NULL   -- samo veljavni centili
GROUP BY 
    t.Ime  --,     tv.PrioritetaPrikaza
ORDER BY t.ime --  tv.PrioritetaPrikaza ASC;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<sst xmlns="http://schemas.openxmlformats.org/spreadsheetml/2006/main" count="1395" uniqueCount="542">
  <si>
    <t>ID</t>
  </si>
  <si>
    <t>Code</t>
  </si>
  <si>
    <t>Name</t>
  </si>
  <si>
    <t>Regija</t>
  </si>
  <si>
    <t>Regija.id</t>
  </si>
  <si>
    <t>Begunje na Gorenjskem</t>
  </si>
  <si>
    <t>Gorenjska</t>
  </si>
  <si>
    <t>Bled</t>
  </si>
  <si>
    <t>Blejska Dobrava</t>
  </si>
  <si>
    <t>Bohinjska Bela</t>
  </si>
  <si>
    <t>Bohinjska Bistrica</t>
  </si>
  <si>
    <t>Bohinjsko jezero</t>
  </si>
  <si>
    <t>Brezje</t>
  </si>
  <si>
    <t>Brnik - aerodrom</t>
  </si>
  <si>
    <t>Cerklje na Gorenjskem</t>
  </si>
  <si>
    <t>Duplje</t>
  </si>
  <si>
    <t>Golnik</t>
  </si>
  <si>
    <t>Gorenja vas</t>
  </si>
  <si>
    <t>Gozd Martuljek</t>
  </si>
  <si>
    <t>Hrušica</t>
  </si>
  <si>
    <t>Jesenice</t>
  </si>
  <si>
    <t>Kamna Gorica</t>
  </si>
  <si>
    <t>Kranj</t>
  </si>
  <si>
    <t>Kranj - poštni predali</t>
  </si>
  <si>
    <t>Kranjska Gora</t>
  </si>
  <si>
    <t>Križe</t>
  </si>
  <si>
    <t>Kropa</t>
  </si>
  <si>
    <t>Lesce</t>
  </si>
  <si>
    <t>Mavčiče</t>
  </si>
  <si>
    <t>Mojstrana</t>
  </si>
  <si>
    <t>Naklo</t>
  </si>
  <si>
    <t>Podnart</t>
  </si>
  <si>
    <t>Poljane nad Škofjo Loko</t>
  </si>
  <si>
    <t>Preddvor</t>
  </si>
  <si>
    <t>Radovljica</t>
  </si>
  <si>
    <t>Rateče - Planica</t>
  </si>
  <si>
    <t>Selca</t>
  </si>
  <si>
    <t>Sorica</t>
  </si>
  <si>
    <t>Sovodenj</t>
  </si>
  <si>
    <t>Srednja vas v Bohinju</t>
  </si>
  <si>
    <t>Šenčur</t>
  </si>
  <si>
    <t>Škofja Loka</t>
  </si>
  <si>
    <t>Tržič</t>
  </si>
  <si>
    <t>Visoko</t>
  </si>
  <si>
    <t>Zgornja Besnica</t>
  </si>
  <si>
    <t>Zgornje Gorje</t>
  </si>
  <si>
    <t>Zgornje Jezersko</t>
  </si>
  <si>
    <t>Žabnica</t>
  </si>
  <si>
    <t>Železniki</t>
  </si>
  <si>
    <t>Žiri</t>
  </si>
  <si>
    <t>Žirovnica</t>
  </si>
  <si>
    <t>Ajdovščina</t>
  </si>
  <si>
    <t>Goriška</t>
  </si>
  <si>
    <t>Bovec</t>
  </si>
  <si>
    <t>Branik</t>
  </si>
  <si>
    <t>Breginj</t>
  </si>
  <si>
    <t>Cerkno</t>
  </si>
  <si>
    <t>Col</t>
  </si>
  <si>
    <t>Čepovan</t>
  </si>
  <si>
    <t>Črni Vrh nad Idrijo</t>
  </si>
  <si>
    <t>Črniče</t>
  </si>
  <si>
    <t>Deskle</t>
  </si>
  <si>
    <t>Dobravlje</t>
  </si>
  <si>
    <t>Dobrovo v Brdih</t>
  </si>
  <si>
    <t>Dornberk</t>
  </si>
  <si>
    <t>Godovič</t>
  </si>
  <si>
    <t>Grahovo ob Bači</t>
  </si>
  <si>
    <t>Grgar</t>
  </si>
  <si>
    <t>Idrija</t>
  </si>
  <si>
    <t>Kal nad Kanalom</t>
  </si>
  <si>
    <t>Kanal</t>
  </si>
  <si>
    <t>Kobarid</t>
  </si>
  <si>
    <t>Kojsko</t>
  </si>
  <si>
    <t>Kostanjevica na Krasu</t>
  </si>
  <si>
    <t>Log pod Mangartom</t>
  </si>
  <si>
    <t>Miren</t>
  </si>
  <si>
    <t>Most na Soči</t>
  </si>
  <si>
    <t>Nova Gorica</t>
  </si>
  <si>
    <t>Nova Gorica - poštni predali</t>
  </si>
  <si>
    <t>Podbrdo</t>
  </si>
  <si>
    <t>Podnanos</t>
  </si>
  <si>
    <t>Prvačina</t>
  </si>
  <si>
    <t>Renče</t>
  </si>
  <si>
    <t>Ročinj</t>
  </si>
  <si>
    <t>Slap ob Idrijci</t>
  </si>
  <si>
    <t>Soča</t>
  </si>
  <si>
    <t>Solkan</t>
  </si>
  <si>
    <t>Spodnja Idrija</t>
  </si>
  <si>
    <t>Srpenica</t>
  </si>
  <si>
    <t>Šempas</t>
  </si>
  <si>
    <t>Šempeter pri Gorici</t>
  </si>
  <si>
    <t>Tolmin</t>
  </si>
  <si>
    <t>Trnovo pri Gorici</t>
  </si>
  <si>
    <t>Vipava</t>
  </si>
  <si>
    <t>Volčja Draga</t>
  </si>
  <si>
    <t>Adlešiči</t>
  </si>
  <si>
    <t>Jugovzhodna Slovenija</t>
  </si>
  <si>
    <t>Brusnice</t>
  </si>
  <si>
    <t>Bučka</t>
  </si>
  <si>
    <t>Črnomelj</t>
  </si>
  <si>
    <t>Dobrnič</t>
  </si>
  <si>
    <t>Dolenja vas</t>
  </si>
  <si>
    <t>Dolenjske Toplice</t>
  </si>
  <si>
    <t>Draga</t>
  </si>
  <si>
    <t>Dragatuš</t>
  </si>
  <si>
    <t>Dvor</t>
  </si>
  <si>
    <t>Gradac</t>
  </si>
  <si>
    <t>Hinje</t>
  </si>
  <si>
    <t>Kočevje</t>
  </si>
  <si>
    <t>Kočevska Reka</t>
  </si>
  <si>
    <t>Kostanjevica na Krki</t>
  </si>
  <si>
    <t>Kostel</t>
  </si>
  <si>
    <t>Loški Potok</t>
  </si>
  <si>
    <t>Metlika</t>
  </si>
  <si>
    <t>Mirna</t>
  </si>
  <si>
    <t>Mirna Peč</t>
  </si>
  <si>
    <t>Mokronog</t>
  </si>
  <si>
    <t>Novo mesto</t>
  </si>
  <si>
    <t>Novo mesto - poštni predali</t>
  </si>
  <si>
    <t>Ortnek</t>
  </si>
  <si>
    <t>Osilnica</t>
  </si>
  <si>
    <t>Otočec</t>
  </si>
  <si>
    <t>Podbočje</t>
  </si>
  <si>
    <t>Ribnica</t>
  </si>
  <si>
    <t>Semič</t>
  </si>
  <si>
    <t>Sodražica</t>
  </si>
  <si>
    <t>Stara Cerkev</t>
  </si>
  <si>
    <t>Stari trg ob Kolpi</t>
  </si>
  <si>
    <t>Stopiče</t>
  </si>
  <si>
    <t>Straža</t>
  </si>
  <si>
    <t>Suhor</t>
  </si>
  <si>
    <t>Šentjernej</t>
  </si>
  <si>
    <t>Šentrupert</t>
  </si>
  <si>
    <t>Škocjan</t>
  </si>
  <si>
    <t>Šmarješke Toplice</t>
  </si>
  <si>
    <t>Trebelno</t>
  </si>
  <si>
    <t>Trebnje</t>
  </si>
  <si>
    <t>Uršna sela</t>
  </si>
  <si>
    <t>Velika Loka</t>
  </si>
  <si>
    <t>Veliki Gaber</t>
  </si>
  <si>
    <t>Vinica</t>
  </si>
  <si>
    <t>Žužemberk</t>
  </si>
  <si>
    <t>Črna na Koroškem</t>
  </si>
  <si>
    <t>Koroška</t>
  </si>
  <si>
    <t>Dravograd</t>
  </si>
  <si>
    <t>Kotlje</t>
  </si>
  <si>
    <t>Libeliče</t>
  </si>
  <si>
    <t>Mežica</t>
  </si>
  <si>
    <t>Mislinja</t>
  </si>
  <si>
    <t>Muta</t>
  </si>
  <si>
    <t>Podgorje pri Slovenj Gradcu</t>
  </si>
  <si>
    <t>Podvelka</t>
  </si>
  <si>
    <t>Prevalje</t>
  </si>
  <si>
    <t>Radlje ob Dravi</t>
  </si>
  <si>
    <t>Ravne na Koroškem</t>
  </si>
  <si>
    <t>Ribnica na Pohorju</t>
  </si>
  <si>
    <t>Slovenj Gradec</t>
  </si>
  <si>
    <t>Šentjanž pri Dravogradu</t>
  </si>
  <si>
    <t>Šmartno pri Slovenj Gradcu</t>
  </si>
  <si>
    <t>Trbonje</t>
  </si>
  <si>
    <t>Vuhred</t>
  </si>
  <si>
    <t>Vuzenica</t>
  </si>
  <si>
    <t>Ankaran/Ancarano</t>
  </si>
  <si>
    <t>Obalno-kraška</t>
  </si>
  <si>
    <t>Črni Kal</t>
  </si>
  <si>
    <t>Dekani</t>
  </si>
  <si>
    <t>Divača</t>
  </si>
  <si>
    <t>Dutovlje</t>
  </si>
  <si>
    <t>Gračišče</t>
  </si>
  <si>
    <t>Izola/Isola</t>
  </si>
  <si>
    <t>Komen</t>
  </si>
  <si>
    <t>Koper - Capodistria</t>
  </si>
  <si>
    <t>Koper - Capodistria - poštni predali</t>
  </si>
  <si>
    <t>Kozina</t>
  </si>
  <si>
    <t>Lokev</t>
  </si>
  <si>
    <t>Marezige</t>
  </si>
  <si>
    <t>Materija</t>
  </si>
  <si>
    <t>Obrov</t>
  </si>
  <si>
    <t>Piran/Pirano</t>
  </si>
  <si>
    <t>Pobegi</t>
  </si>
  <si>
    <t>Podgorje</t>
  </si>
  <si>
    <t>Podgrad</t>
  </si>
  <si>
    <t>Portorož/Portorose</t>
  </si>
  <si>
    <t>Sečovlje/Sicciole</t>
  </si>
  <si>
    <t>Senožeče</t>
  </si>
  <si>
    <t>Sežana</t>
  </si>
  <si>
    <t>Škofije</t>
  </si>
  <si>
    <t>Šmarje</t>
  </si>
  <si>
    <t>Štanjel</t>
  </si>
  <si>
    <t>Vremski Britof</t>
  </si>
  <si>
    <t>Blagovica</t>
  </si>
  <si>
    <t>Osrednjeslovenska</t>
  </si>
  <si>
    <t>Borovnica</t>
  </si>
  <si>
    <t>Brezovica pri Ljubljani</t>
  </si>
  <si>
    <t>Dob</t>
  </si>
  <si>
    <t>Dobrova</t>
  </si>
  <si>
    <t>Dol pri Ljubljani</t>
  </si>
  <si>
    <t>Dole pri Litiji</t>
  </si>
  <si>
    <t>Domžale</t>
  </si>
  <si>
    <t>Gabrovka</t>
  </si>
  <si>
    <t>Grosuplje</t>
  </si>
  <si>
    <t>Horjul</t>
  </si>
  <si>
    <t>Hotedršica</t>
  </si>
  <si>
    <t>Ig</t>
  </si>
  <si>
    <t>Ivančna Gorica</t>
  </si>
  <si>
    <t>Kamnik</t>
  </si>
  <si>
    <t>Komenda</t>
  </si>
  <si>
    <t>Kresnice</t>
  </si>
  <si>
    <t>Krka</t>
  </si>
  <si>
    <t>Laze v Tuhinju</t>
  </si>
  <si>
    <t>Litija</t>
  </si>
  <si>
    <t>Ljubljana</t>
  </si>
  <si>
    <t>Ljubljana - poštni predali</t>
  </si>
  <si>
    <t>Ljubljana - Črnuče</t>
  </si>
  <si>
    <t>Ljubljana - Dobrunje</t>
  </si>
  <si>
    <t>Ljubljana - Polje</t>
  </si>
  <si>
    <t>Ljubljana - poštni center</t>
  </si>
  <si>
    <t>Ljubljana - Šentvid</t>
  </si>
  <si>
    <t>Ljubljana - Šmartno</t>
  </si>
  <si>
    <t>Log pri Brezovici</t>
  </si>
  <si>
    <t>Logatec</t>
  </si>
  <si>
    <t>Lukovica</t>
  </si>
  <si>
    <t>Medvode</t>
  </si>
  <si>
    <t>Mengeš</t>
  </si>
  <si>
    <t>Moravče</t>
  </si>
  <si>
    <t>Motnik</t>
  </si>
  <si>
    <t>Notranje Gorice</t>
  </si>
  <si>
    <t>Polhov Gradec</t>
  </si>
  <si>
    <t>Polšnik</t>
  </si>
  <si>
    <t>Preserje</t>
  </si>
  <si>
    <t>Primskovo</t>
  </si>
  <si>
    <t>Radomlje</t>
  </si>
  <si>
    <t>Rob</t>
  </si>
  <si>
    <t>Rovte</t>
  </si>
  <si>
    <t>Sava</t>
  </si>
  <si>
    <t>Smlednik</t>
  </si>
  <si>
    <t>Stahovica</t>
  </si>
  <si>
    <t>Struge</t>
  </si>
  <si>
    <t>Šentvid pri Stični</t>
  </si>
  <si>
    <t>Škofljica</t>
  </si>
  <si>
    <t>Šmarje - Sap</t>
  </si>
  <si>
    <t>Šmartno pri Litiji</t>
  </si>
  <si>
    <t>Trojane</t>
  </si>
  <si>
    <t>Trzin</t>
  </si>
  <si>
    <t>Turjak</t>
  </si>
  <si>
    <t>Vače</t>
  </si>
  <si>
    <t>Velike Lašče</t>
  </si>
  <si>
    <t>Videm - Dobrepolje</t>
  </si>
  <si>
    <t>Višnja Gora</t>
  </si>
  <si>
    <t>Vodice</t>
  </si>
  <si>
    <t>Vrhnika</t>
  </si>
  <si>
    <t>Zagradec</t>
  </si>
  <si>
    <t>Benedikt</t>
  </si>
  <si>
    <t>Podravska</t>
  </si>
  <si>
    <t>Bistrica ob Dravi</t>
  </si>
  <si>
    <t>Bresternica</t>
  </si>
  <si>
    <t>Cerkvenjak</t>
  </si>
  <si>
    <t>Ceršak</t>
  </si>
  <si>
    <t>Cirkovce</t>
  </si>
  <si>
    <t>Cirkulane</t>
  </si>
  <si>
    <t>Destrnik</t>
  </si>
  <si>
    <t>Dornava</t>
  </si>
  <si>
    <t>Fala</t>
  </si>
  <si>
    <t>Fram</t>
  </si>
  <si>
    <t>Gorišnica</t>
  </si>
  <si>
    <t>Hajdina</t>
  </si>
  <si>
    <t>Hoče</t>
  </si>
  <si>
    <t>Ivanjkovci</t>
  </si>
  <si>
    <t>Jakobski Dol</t>
  </si>
  <si>
    <t>Jarenina</t>
  </si>
  <si>
    <t>Jurovski Dol</t>
  </si>
  <si>
    <t>Juršinci</t>
  </si>
  <si>
    <t>Kamnica</t>
  </si>
  <si>
    <t>Kapla</t>
  </si>
  <si>
    <t>Kidričevo</t>
  </si>
  <si>
    <t>Kog</t>
  </si>
  <si>
    <t>Laporje</t>
  </si>
  <si>
    <t>Lenart v Slovenskih goricah</t>
  </si>
  <si>
    <t>Limbuš</t>
  </si>
  <si>
    <t>Lovrenc na Dravskem polju</t>
  </si>
  <si>
    <t>Lovrenc na Pohorju</t>
  </si>
  <si>
    <t>Majšperk</t>
  </si>
  <si>
    <t>Makole</t>
  </si>
  <si>
    <t>Malečnik</t>
  </si>
  <si>
    <t>Maribor</t>
  </si>
  <si>
    <t>Maribor - poštni predali</t>
  </si>
  <si>
    <t>Marjeta na Dravskem polju</t>
  </si>
  <si>
    <t>Markovci</t>
  </si>
  <si>
    <t>Miklavž na Dravskem polju</t>
  </si>
  <si>
    <t>Miklavž pri Ormožu</t>
  </si>
  <si>
    <t>Oplotnica</t>
  </si>
  <si>
    <t>Orehova vas</t>
  </si>
  <si>
    <t>Ormož</t>
  </si>
  <si>
    <t>Ožbalt</t>
  </si>
  <si>
    <t>Pernica</t>
  </si>
  <si>
    <t>Pesnica pri Mariboru</t>
  </si>
  <si>
    <t>Podgorci</t>
  </si>
  <si>
    <t>Podlehnik</t>
  </si>
  <si>
    <t>Pohorje</t>
  </si>
  <si>
    <t>Polenšak</t>
  </si>
  <si>
    <t>Poljčane</t>
  </si>
  <si>
    <t>Pragersko</t>
  </si>
  <si>
    <t>Ptuj</t>
  </si>
  <si>
    <t>Ptujska Gora</t>
  </si>
  <si>
    <t>Rače</t>
  </si>
  <si>
    <t>Ruše</t>
  </si>
  <si>
    <t>Selnica ob Dravi</t>
  </si>
  <si>
    <t>Sladki Vrh</t>
  </si>
  <si>
    <t>Slovenska Bistrica</t>
  </si>
  <si>
    <t>Spodnji Duplek</t>
  </si>
  <si>
    <t>Središče ob Dravi</t>
  </si>
  <si>
    <t>Starše</t>
  </si>
  <si>
    <t>Stoperce</t>
  </si>
  <si>
    <t>Sv. Duh na Ostrem Vrhu</t>
  </si>
  <si>
    <t>Sveta Ana v Slovenskih goricah</t>
  </si>
  <si>
    <t>Sveta Trojica v Slovenskih goricah</t>
  </si>
  <si>
    <t>Sveti Tomaž</t>
  </si>
  <si>
    <t>Šentilj v Slovenskih goricah</t>
  </si>
  <si>
    <t>Šmartno na Pohorju</t>
  </si>
  <si>
    <t>Trnovska vas</t>
  </si>
  <si>
    <t>Velika Nedelja</t>
  </si>
  <si>
    <t>Videm pri Ptuju</t>
  </si>
  <si>
    <t>Vitomarci</t>
  </si>
  <si>
    <t>Voličina</t>
  </si>
  <si>
    <t>Zavrč</t>
  </si>
  <si>
    <t>Zgornja Korena</t>
  </si>
  <si>
    <t>Zgornja Kungota</t>
  </si>
  <si>
    <t>Zgornja Ložnica</t>
  </si>
  <si>
    <t>Zgornja Polskava</t>
  </si>
  <si>
    <t>Zgornja Velka</t>
  </si>
  <si>
    <t>Zgornji Leskovec</t>
  </si>
  <si>
    <t>Žetale</t>
  </si>
  <si>
    <t>Apače</t>
  </si>
  <si>
    <t>Pomurska</t>
  </si>
  <si>
    <t>Beltinci</t>
  </si>
  <si>
    <t>Bodonci</t>
  </si>
  <si>
    <t>Bogojina</t>
  </si>
  <si>
    <t>Cankova</t>
  </si>
  <si>
    <t>Črenšovci</t>
  </si>
  <si>
    <t>Dobrovnik/Dobronak</t>
  </si>
  <si>
    <t>Fokovci</t>
  </si>
  <si>
    <t>Gornja Radgona</t>
  </si>
  <si>
    <t>Grad</t>
  </si>
  <si>
    <t>Hodoš/Hodos</t>
  </si>
  <si>
    <t>Kobilje</t>
  </si>
  <si>
    <t>Križevci</t>
  </si>
  <si>
    <t>Križevci pri Ljutomeru</t>
  </si>
  <si>
    <t>Kuzma</t>
  </si>
  <si>
    <t>Lendava/Lendva</t>
  </si>
  <si>
    <t>Ljutomer</t>
  </si>
  <si>
    <t>Mačkovci</t>
  </si>
  <si>
    <t>Mala Nedelja</t>
  </si>
  <si>
    <t>Martjanci</t>
  </si>
  <si>
    <t>Moravske Toplice</t>
  </si>
  <si>
    <t>Murska Sobota</t>
  </si>
  <si>
    <t>Murska Sobota - poštni predali</t>
  </si>
  <si>
    <t>Odranci</t>
  </si>
  <si>
    <t>Petrovci</t>
  </si>
  <si>
    <t>Prosenjakovci/Partosfalva</t>
  </si>
  <si>
    <t>Puconci</t>
  </si>
  <si>
    <t>Radenci</t>
  </si>
  <si>
    <t>Razkrižje</t>
  </si>
  <si>
    <t>Rogašovci</t>
  </si>
  <si>
    <t>Spodnji Ivanjci</t>
  </si>
  <si>
    <t>Sveti Jurij ob Ščavnici</t>
  </si>
  <si>
    <t>Šalovci</t>
  </si>
  <si>
    <t>Tišina</t>
  </si>
  <si>
    <t>Turnišče</t>
  </si>
  <si>
    <t>Velika Polana</t>
  </si>
  <si>
    <t>Veržej</t>
  </si>
  <si>
    <t>Artiče</t>
  </si>
  <si>
    <t>Posavska</t>
  </si>
  <si>
    <t>Bizeljsko</t>
  </si>
  <si>
    <t>Blanca</t>
  </si>
  <si>
    <t>Boštanj</t>
  </si>
  <si>
    <t>Brestanica</t>
  </si>
  <si>
    <t>Brežice</t>
  </si>
  <si>
    <t>Cerklje ob Krki</t>
  </si>
  <si>
    <t>Čatež ob Savi</t>
  </si>
  <si>
    <t>Dobova</t>
  </si>
  <si>
    <t>Globoko</t>
  </si>
  <si>
    <t>Jesenice na Dolenjskem</t>
  </si>
  <si>
    <t>Kapele</t>
  </si>
  <si>
    <t>Koprivnica</t>
  </si>
  <si>
    <t>Krmelj</t>
  </si>
  <si>
    <t>Krška vas</t>
  </si>
  <si>
    <t>Krško</t>
  </si>
  <si>
    <t>Leskovec pri Krškem</t>
  </si>
  <si>
    <t>Loka pri Zidanem Mostu</t>
  </si>
  <si>
    <t>Pišece</t>
  </si>
  <si>
    <t>Radeče</t>
  </si>
  <si>
    <t>Raka</t>
  </si>
  <si>
    <t>Senovo</t>
  </si>
  <si>
    <t>Sevnica</t>
  </si>
  <si>
    <t>Sromlje</t>
  </si>
  <si>
    <t>Studenec</t>
  </si>
  <si>
    <t>Šentjanž</t>
  </si>
  <si>
    <t>Tržišče</t>
  </si>
  <si>
    <t>Zabukovje</t>
  </si>
  <si>
    <t>Zdole</t>
  </si>
  <si>
    <t>Zidani Most</t>
  </si>
  <si>
    <t>Begunje pri Cerknici</t>
  </si>
  <si>
    <t>Primorsko-notranjska</t>
  </si>
  <si>
    <t>Cerknica</t>
  </si>
  <si>
    <t>Grahovo</t>
  </si>
  <si>
    <t>Hruševje</t>
  </si>
  <si>
    <t>Ilirska Bistrica</t>
  </si>
  <si>
    <t>Ilirska Bistrica - Trnovo</t>
  </si>
  <si>
    <t>Jelšane</t>
  </si>
  <si>
    <t>Knežak</t>
  </si>
  <si>
    <t>Košana</t>
  </si>
  <si>
    <t>Nova vas</t>
  </si>
  <si>
    <t>Pivka</t>
  </si>
  <si>
    <t>Planina</t>
  </si>
  <si>
    <t>Postojna</t>
  </si>
  <si>
    <t>Prem</t>
  </si>
  <si>
    <t>Prestranek</t>
  </si>
  <si>
    <t>Rakek</t>
  </si>
  <si>
    <t>Stari trg pri Ložu</t>
  </si>
  <si>
    <t>Bistrica ob Sotli</t>
  </si>
  <si>
    <t>Savinjska</t>
  </si>
  <si>
    <t>Braslovče</t>
  </si>
  <si>
    <t>Buče</t>
  </si>
  <si>
    <t>Celje</t>
  </si>
  <si>
    <t>Celje - poštni predali</t>
  </si>
  <si>
    <t>Dobje pri Planini</t>
  </si>
  <si>
    <t>Dobrna</t>
  </si>
  <si>
    <t>Dramlje</t>
  </si>
  <si>
    <t>Frankolovo</t>
  </si>
  <si>
    <t>Gomilsko</t>
  </si>
  <si>
    <t>Gorica pri Slivnici</t>
  </si>
  <si>
    <t>Gornji Grad</t>
  </si>
  <si>
    <t>Griže</t>
  </si>
  <si>
    <t>Grobelno</t>
  </si>
  <si>
    <t>Jurklošter</t>
  </si>
  <si>
    <t>Kalobje</t>
  </si>
  <si>
    <t>Kozje</t>
  </si>
  <si>
    <t>Laško</t>
  </si>
  <si>
    <t>Lesično</t>
  </si>
  <si>
    <t>Ljubečna</t>
  </si>
  <si>
    <t>Ljubno ob Savinji</t>
  </si>
  <si>
    <t>Loče</t>
  </si>
  <si>
    <t>Loka pri Žusmu</t>
  </si>
  <si>
    <t>Luče</t>
  </si>
  <si>
    <t>Mozirje</t>
  </si>
  <si>
    <t>Nazarje</t>
  </si>
  <si>
    <t>Nova Cerkev</t>
  </si>
  <si>
    <t>Petrovče</t>
  </si>
  <si>
    <t>Planina pri Sevnici</t>
  </si>
  <si>
    <t>Podčetrtek</t>
  </si>
  <si>
    <t>Podplat</t>
  </si>
  <si>
    <t>Podsreda</t>
  </si>
  <si>
    <t>Polzela</t>
  </si>
  <si>
    <t>Ponikva</t>
  </si>
  <si>
    <t>Prebold</t>
  </si>
  <si>
    <t>Prevorje</t>
  </si>
  <si>
    <t>Pristava pri Mestinju</t>
  </si>
  <si>
    <t>Rečica ob Savinji</t>
  </si>
  <si>
    <t>Rimske Toplice</t>
  </si>
  <si>
    <t>Rogaška Slatina</t>
  </si>
  <si>
    <t>Rogatec</t>
  </si>
  <si>
    <t>Slovenske Konjice</t>
  </si>
  <si>
    <t>Solčava</t>
  </si>
  <si>
    <t>Stranice</t>
  </si>
  <si>
    <t>Sveti Štefan</t>
  </si>
  <si>
    <t>Šempeter v Savinjski dolini</t>
  </si>
  <si>
    <t>Šentjur</t>
  </si>
  <si>
    <t>Škofja vas</t>
  </si>
  <si>
    <t>Šmarje pri Jelšah</t>
  </si>
  <si>
    <t>Šmartno ob Dreti</t>
  </si>
  <si>
    <t>Šmartno ob Paki</t>
  </si>
  <si>
    <t>Šmartno v Rožni dolini</t>
  </si>
  <si>
    <t>Šoštanj</t>
  </si>
  <si>
    <t>Štore</t>
  </si>
  <si>
    <t>Tabor</t>
  </si>
  <si>
    <t>Teharje</t>
  </si>
  <si>
    <t>Topolšica</t>
  </si>
  <si>
    <t>Velenje</t>
  </si>
  <si>
    <t>Vitanje</t>
  </si>
  <si>
    <t>Vojnik</t>
  </si>
  <si>
    <t>Vransko</t>
  </si>
  <si>
    <t>Zreče</t>
  </si>
  <si>
    <t>Žalec</t>
  </si>
  <si>
    <t>(tujina)</t>
  </si>
  <si>
    <t>Tujina</t>
  </si>
  <si>
    <t>zamejstvo - Italija</t>
  </si>
  <si>
    <t>Zamejstvo</t>
  </si>
  <si>
    <t>zamejstvo - Avstrija</t>
  </si>
  <si>
    <t>zamejstvo - Hrvaška</t>
  </si>
  <si>
    <t>zamejstvo - Madžarska</t>
  </si>
  <si>
    <t>Čemšenik</t>
  </si>
  <si>
    <t>Zasavska</t>
  </si>
  <si>
    <t>Dobovec</t>
  </si>
  <si>
    <t>Dol pri Hrastniku</t>
  </si>
  <si>
    <t>Hrastnik</t>
  </si>
  <si>
    <t>Izlake</t>
  </si>
  <si>
    <t>Kisovec</t>
  </si>
  <si>
    <t>Podkum</t>
  </si>
  <si>
    <t>Trbovlje</t>
  </si>
  <si>
    <t>Zagorje ob Savi</t>
  </si>
  <si>
    <t>x1</t>
  </si>
  <si>
    <t>x2</t>
  </si>
  <si>
    <t>Meritev.id</t>
  </si>
  <si>
    <t>Opomba</t>
  </si>
  <si>
    <t>FŠ odrasli 13.2.2026</t>
  </si>
  <si>
    <t>Slovenija</t>
  </si>
  <si>
    <t>Test</t>
  </si>
  <si>
    <t>Zdravo</t>
  </si>
  <si>
    <t>Mejno</t>
  </si>
  <si>
    <t>Tvegano</t>
  </si>
  <si>
    <t>Indeks telesne mase</t>
  </si>
  <si>
    <t>CentilXA</t>
  </si>
  <si>
    <t>Geo_enota</t>
  </si>
  <si>
    <t>ReportDocName</t>
  </si>
  <si>
    <t>Fšfebr2026_odrasli</t>
  </si>
  <si>
    <t>sum</t>
  </si>
  <si>
    <t>N</t>
  </si>
  <si>
    <t>6-minutni test hoje</t>
  </si>
  <si>
    <t>Dotikanje plošč z roko</t>
  </si>
  <si>
    <t>Dviganje trupa</t>
  </si>
  <si>
    <t>Indeks telesne zmogljivosti</t>
  </si>
  <si>
    <t>Kožna guba nadlahti</t>
  </si>
  <si>
    <t>Navpični skok</t>
  </si>
  <si>
    <t>Obseg pasu</t>
  </si>
  <si>
    <t>Poligon nazaj</t>
  </si>
  <si>
    <t>Predklon na klopci</t>
  </si>
  <si>
    <t>Predklon sede</t>
  </si>
  <si>
    <t>Skok v daljino z mesta</t>
  </si>
  <si>
    <t>Sorensenov test</t>
  </si>
  <si>
    <t>Stisk pesti</t>
  </si>
  <si>
    <t>T-test</t>
  </si>
  <si>
    <t>Tek na 60 m</t>
  </si>
  <si>
    <t>Tek na 600 m</t>
  </si>
  <si>
    <t>Tek v osmici</t>
  </si>
  <si>
    <t>Telesna masa</t>
  </si>
  <si>
    <t>Telesna višina</t>
  </si>
  <si>
    <t>Upogibanje trupa</t>
  </si>
  <si>
    <t>Vesa v zgibi</t>
  </si>
  <si>
    <t>sql</t>
  </si>
  <si>
    <t>Row Labels</t>
  </si>
  <si>
    <t>Grand Total</t>
  </si>
  <si>
    <t>Average of CentilXA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</si>
</sst>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5" x14ac:knownFonts="1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3">
    <cellStyle name="Normal" xfId="0" builtinId="0"/>
    <cellStyle name="Normal 2" xfId="1" xr:uid="{BDBFD1E4-62EC-41BE-B39B-390F134CCF6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Povprečni</a:t>
            </a:r>
            <a:r>
              <a:rPr lang="en-US" baseline="0"/>
              <a:t> centil 6-minutni test hoje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Centili!$H$5:$H$18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Centili!$I$5:$I$18</c:f>
              <c:numCache>
                <c:formatCode>0.0</c:formatCode>
                <c:ptCount val="13"/>
                <c:pt idx="0">
                  <c:v>47.403438483789401</c:v>
                </c:pt>
                <c:pt idx="1">
                  <c:v>49.549960943097801</c:v>
                </c:pt>
                <c:pt idx="2">
                  <c:v>45.468040441577102</c:v>
                </c:pt>
                <c:pt idx="3">
                  <c:v>39.985276858955302</c:v>
                </c:pt>
                <c:pt idx="4">
                  <c:v>42.328426016957202</c:v>
                </c:pt>
                <c:pt idx="5">
                  <c:v>44.7408214844612</c:v>
                </c:pt>
                <c:pt idx="6">
                  <c:v>58.041481211427403</c:v>
                </c:pt>
                <c:pt idx="7">
                  <c:v>57.547824248004297</c:v>
                </c:pt>
                <c:pt idx="8">
                  <c:v>37.5728138326173</c:v>
                </c:pt>
                <c:pt idx="9">
                  <c:v>48.707977329237202</c:v>
                </c:pt>
                <c:pt idx="10">
                  <c:v>52.687803510197</c:v>
                </c:pt>
                <c:pt idx="11">
                  <c:v>45.898605534257399</c:v>
                </c:pt>
                <c:pt idx="12">
                  <c:v>46.2503544661785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449580</xdr:colOff>
      <xdr:row>18</xdr:row>
      <xdr:rowOff>57150</xdr:rowOff>
    </xdr:from>
    <xdr:to>
      <xdr:col>13</xdr:col>
      <xdr:colOff>144780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4.798216782408" createdVersion="8" refreshedVersion="8" minRefreshableVersion="3" recordCount="178" xr:uid="{595DB436-C5C2-41FC-8D84-021DB1358F00}">
  <cacheSource type="worksheet">
    <worksheetSource ref="A1:D179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Dviganje trupa"/>
        <s v="Indeks telesne mase"/>
        <s v="Indeks telesne zmogljivosti"/>
        <s v="Kožna guba nadlahti"/>
        <s v="Navpični skok"/>
        <s v="Obseg pasu"/>
        <s v="Poligon nazaj"/>
        <s v="Predklon na klopci"/>
        <s v="Predklon sede"/>
        <s v="Skok v daljino z mesta"/>
        <s v="Sorensenov test"/>
        <s v="Stisk pesti"/>
        <s v="Tek na 60 m"/>
        <s v="Tek na 600 m"/>
        <s v="Tek v osmici"/>
        <s v="Telesna masa"/>
        <s v="Telesna višina"/>
        <s v="T-test"/>
        <s v="Upogibanje trupa"/>
        <s v="Vesa v zgibi"/>
      </sharedItems>
    </cacheField>
    <cacheField name="CentilXA" numFmtId="169">
      <sharedItems containsSemiMixedTypes="0" containsString="0" containsNumber="1" minValue="32.176286239259497" maxValue="87.685120282945505"/>
    </cacheField>
    <cacheField name="N" numFmtId="0">
      <sharedItems containsSemiMixedTypes="0" containsString="0" containsNumber="1" containsInteger="1" minValue="24" maxValue="1134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">
  <r>
    <x v="0"/>
    <x v="0"/>
    <n v="45.898605534257399"/>
    <n v="19884"/>
  </r>
  <r>
    <x v="1"/>
    <x v="0"/>
    <n v="47.403438483789401"/>
    <n v="167"/>
  </r>
  <r>
    <x v="2"/>
    <x v="0"/>
    <n v="49.549960943097801"/>
    <n v="84"/>
  </r>
  <r>
    <x v="3"/>
    <x v="0"/>
    <n v="45.468040441577102"/>
    <n v="122"/>
  </r>
  <r>
    <x v="4"/>
    <x v="0"/>
    <n v="39.985276858955302"/>
    <n v="41"/>
  </r>
  <r>
    <x v="5"/>
    <x v="0"/>
    <n v="42.328426016957202"/>
    <n v="70"/>
  </r>
  <r>
    <x v="6"/>
    <x v="0"/>
    <n v="44.7408214844612"/>
    <n v="1530"/>
  </r>
  <r>
    <x v="7"/>
    <x v="0"/>
    <n v="58.041481211427403"/>
    <n v="69"/>
  </r>
  <r>
    <x v="8"/>
    <x v="0"/>
    <n v="57.547824248004297"/>
    <n v="44"/>
  </r>
  <r>
    <x v="9"/>
    <x v="0"/>
    <n v="37.5728138326173"/>
    <n v="172"/>
  </r>
  <r>
    <x v="10"/>
    <x v="0"/>
    <n v="48.707977329237202"/>
    <n v="37"/>
  </r>
  <r>
    <x v="11"/>
    <x v="0"/>
    <n v="52.687803510197"/>
    <n v="203"/>
  </r>
  <r>
    <x v="12"/>
    <x v="0"/>
    <n v="46.2503544661785"/>
    <n v="26"/>
  </r>
  <r>
    <x v="0"/>
    <x v="1"/>
    <n v="61.859425770594299"/>
    <n v="69456"/>
  </r>
  <r>
    <x v="1"/>
    <x v="1"/>
    <n v="64.448408615517494"/>
    <n v="1010"/>
  </r>
  <r>
    <x v="2"/>
    <x v="1"/>
    <n v="68.243981227685396"/>
    <n v="241"/>
  </r>
  <r>
    <x v="3"/>
    <x v="1"/>
    <n v="63.138306574372798"/>
    <n v="516"/>
  </r>
  <r>
    <x v="4"/>
    <x v="1"/>
    <n v="61.650970704337603"/>
    <n v="151"/>
  </r>
  <r>
    <x v="5"/>
    <x v="1"/>
    <n v="59.389565108445503"/>
    <n v="325"/>
  </r>
  <r>
    <x v="6"/>
    <x v="1"/>
    <n v="61.2586151987609"/>
    <n v="4895"/>
  </r>
  <r>
    <x v="7"/>
    <x v="1"/>
    <n v="63.5095650083449"/>
    <n v="468"/>
  </r>
  <r>
    <x v="8"/>
    <x v="1"/>
    <n v="69.4869477721941"/>
    <n v="172"/>
  </r>
  <r>
    <x v="9"/>
    <x v="1"/>
    <n v="67.441745285494903"/>
    <n v="229"/>
  </r>
  <r>
    <x v="10"/>
    <x v="1"/>
    <n v="65.998355987718696"/>
    <n v="105"/>
  </r>
  <r>
    <x v="11"/>
    <x v="1"/>
    <n v="59.1261023499139"/>
    <n v="1449"/>
  </r>
  <r>
    <x v="12"/>
    <x v="1"/>
    <n v="65.849143997583596"/>
    <n v="56"/>
  </r>
  <r>
    <x v="0"/>
    <x v="2"/>
    <n v="55.661144882087001"/>
    <n v="14414"/>
  </r>
  <r>
    <x v="0"/>
    <x v="3"/>
    <n v="63.4012882175344"/>
    <n v="112680"/>
  </r>
  <r>
    <x v="1"/>
    <x v="3"/>
    <n v="65.530243828187807"/>
    <n v="1066"/>
  </r>
  <r>
    <x v="2"/>
    <x v="3"/>
    <n v="64.179445006669596"/>
    <n v="268"/>
  </r>
  <r>
    <x v="3"/>
    <x v="3"/>
    <n v="61.726062333311603"/>
    <n v="552"/>
  </r>
  <r>
    <x v="4"/>
    <x v="3"/>
    <n v="64.408793384751206"/>
    <n v="156"/>
  </r>
  <r>
    <x v="5"/>
    <x v="3"/>
    <n v="52.365209085664198"/>
    <n v="340"/>
  </r>
  <r>
    <x v="6"/>
    <x v="3"/>
    <n v="64.889610353808095"/>
    <n v="5435"/>
  </r>
  <r>
    <x v="7"/>
    <x v="3"/>
    <n v="61.977832811772402"/>
    <n v="483"/>
  </r>
  <r>
    <x v="8"/>
    <x v="3"/>
    <n v="65.2944828417792"/>
    <n v="176"/>
  </r>
  <r>
    <x v="9"/>
    <x v="3"/>
    <n v="46.998091475705202"/>
    <n v="236"/>
  </r>
  <r>
    <x v="10"/>
    <x v="3"/>
    <n v="57.772054341643098"/>
    <n v="112"/>
  </r>
  <r>
    <x v="11"/>
    <x v="3"/>
    <n v="59.433243297663203"/>
    <n v="1483"/>
  </r>
  <r>
    <x v="12"/>
    <x v="3"/>
    <n v="58.112522389522098"/>
    <n v="59"/>
  </r>
  <r>
    <x v="0"/>
    <x v="4"/>
    <n v="68.326974225841994"/>
    <n v="6129"/>
  </r>
  <r>
    <x v="0"/>
    <x v="5"/>
    <n v="64.015389907808895"/>
    <n v="14244"/>
  </r>
  <r>
    <x v="0"/>
    <x v="6"/>
    <n v="53.697158157179103"/>
    <n v="15292"/>
  </r>
  <r>
    <x v="1"/>
    <x v="6"/>
    <n v="52.570898919692397"/>
    <n v="306"/>
  </r>
  <r>
    <x v="2"/>
    <x v="6"/>
    <n v="56.2000095402095"/>
    <n v="87"/>
  </r>
  <r>
    <x v="3"/>
    <x v="6"/>
    <n v="56.639997361358503"/>
    <n v="141"/>
  </r>
  <r>
    <x v="4"/>
    <x v="6"/>
    <n v="65.273677127912805"/>
    <n v="67"/>
  </r>
  <r>
    <x v="5"/>
    <x v="6"/>
    <n v="51.785195029806303"/>
    <n v="104"/>
  </r>
  <r>
    <x v="6"/>
    <x v="6"/>
    <n v="53.765226633869098"/>
    <n v="1595"/>
  </r>
  <r>
    <x v="7"/>
    <x v="6"/>
    <n v="56.957425172463999"/>
    <n v="129"/>
  </r>
  <r>
    <x v="8"/>
    <x v="6"/>
    <n v="66.126187877309903"/>
    <n v="53"/>
  </r>
  <r>
    <x v="9"/>
    <x v="6"/>
    <n v="42.040155333313997"/>
    <n v="178"/>
  </r>
  <r>
    <x v="10"/>
    <x v="6"/>
    <n v="52.1139427828059"/>
    <n v="46"/>
  </r>
  <r>
    <x v="11"/>
    <x v="6"/>
    <n v="57.719228367273402"/>
    <n v="297"/>
  </r>
  <r>
    <x v="12"/>
    <x v="6"/>
    <n v="38.480238583292397"/>
    <n v="31"/>
  </r>
  <r>
    <x v="0"/>
    <x v="7"/>
    <n v="33.533826370018403"/>
    <n v="24948"/>
  </r>
  <r>
    <x v="1"/>
    <x v="7"/>
    <n v="34.725366328251503"/>
    <n v="307"/>
  </r>
  <r>
    <x v="2"/>
    <x v="7"/>
    <n v="37.3124829898603"/>
    <n v="87"/>
  </r>
  <r>
    <x v="3"/>
    <x v="7"/>
    <n v="37.540867499998598"/>
    <n v="160"/>
  </r>
  <r>
    <x v="4"/>
    <x v="7"/>
    <n v="36.128660189547801"/>
    <n v="66"/>
  </r>
  <r>
    <x v="5"/>
    <x v="7"/>
    <n v="33.630302898423999"/>
    <n v="106"/>
  </r>
  <r>
    <x v="6"/>
    <x v="7"/>
    <n v="32.176286239259497"/>
    <n v="1716"/>
  </r>
  <r>
    <x v="7"/>
    <x v="7"/>
    <n v="34.930081172059801"/>
    <n v="134"/>
  </r>
  <r>
    <x v="8"/>
    <x v="7"/>
    <n v="33.8697091929373"/>
    <n v="57"/>
  </r>
  <r>
    <x v="9"/>
    <x v="7"/>
    <n v="45.330007201012101"/>
    <n v="190"/>
  </r>
  <r>
    <x v="10"/>
    <x v="7"/>
    <n v="33.654954772795698"/>
    <n v="50"/>
  </r>
  <r>
    <x v="11"/>
    <x v="7"/>
    <n v="33.332790420978696"/>
    <n v="310"/>
  </r>
  <r>
    <x v="12"/>
    <x v="7"/>
    <n v="37.565077958014598"/>
    <n v="33"/>
  </r>
  <r>
    <x v="0"/>
    <x v="8"/>
    <n v="65.466843015554005"/>
    <n v="14284"/>
  </r>
  <r>
    <x v="0"/>
    <x v="9"/>
    <n v="61.351768828458802"/>
    <n v="14548"/>
  </r>
  <r>
    <x v="0"/>
    <x v="10"/>
    <n v="42.712666945560002"/>
    <n v="26625"/>
  </r>
  <r>
    <x v="1"/>
    <x v="10"/>
    <n v="40.736015184493397"/>
    <n v="407"/>
  </r>
  <r>
    <x v="2"/>
    <x v="10"/>
    <n v="43.219114083155397"/>
    <n v="154"/>
  </r>
  <r>
    <x v="3"/>
    <x v="10"/>
    <n v="43.450132359176799"/>
    <n v="211"/>
  </r>
  <r>
    <x v="4"/>
    <x v="10"/>
    <n v="36.092427793259397"/>
    <n v="132"/>
  </r>
  <r>
    <x v="5"/>
    <x v="10"/>
    <n v="38.111316710960601"/>
    <n v="187"/>
  </r>
  <r>
    <x v="6"/>
    <x v="10"/>
    <n v="43.764208355606797"/>
    <n v="1986"/>
  </r>
  <r>
    <x v="7"/>
    <x v="10"/>
    <n v="38.252192028693599"/>
    <n v="293"/>
  </r>
  <r>
    <x v="8"/>
    <x v="10"/>
    <n v="40.466069288879297"/>
    <n v="114"/>
  </r>
  <r>
    <x v="9"/>
    <x v="10"/>
    <n v="40.8892282486676"/>
    <n v="211"/>
  </r>
  <r>
    <x v="10"/>
    <x v="10"/>
    <n v="38.403917916557504"/>
    <n v="100"/>
  </r>
  <r>
    <x v="11"/>
    <x v="10"/>
    <n v="38.654035245688199"/>
    <n v="434"/>
  </r>
  <r>
    <x v="12"/>
    <x v="10"/>
    <n v="40.682511076372201"/>
    <n v="50"/>
  </r>
  <r>
    <x v="0"/>
    <x v="11"/>
    <n v="73.081544716928903"/>
    <n v="21858"/>
  </r>
  <r>
    <x v="0"/>
    <x v="12"/>
    <n v="55.066957784531802"/>
    <n v="333"/>
  </r>
  <r>
    <x v="0"/>
    <x v="13"/>
    <n v="49.248488611347398"/>
    <n v="40677"/>
  </r>
  <r>
    <x v="1"/>
    <x v="13"/>
    <n v="54.609639948049903"/>
    <n v="444"/>
  </r>
  <r>
    <x v="2"/>
    <x v="13"/>
    <n v="54.405738377296203"/>
    <n v="152"/>
  </r>
  <r>
    <x v="3"/>
    <x v="13"/>
    <n v="53.665815840539501"/>
    <n v="222"/>
  </r>
  <r>
    <x v="4"/>
    <x v="13"/>
    <n v="46.796221411784998"/>
    <n v="132"/>
  </r>
  <r>
    <x v="5"/>
    <x v="13"/>
    <n v="51.1563808307668"/>
    <n v="192"/>
  </r>
  <r>
    <x v="6"/>
    <x v="13"/>
    <n v="47.5824975087639"/>
    <n v="2348"/>
  </r>
  <r>
    <x v="7"/>
    <x v="13"/>
    <n v="44.907350299407902"/>
    <n v="310"/>
  </r>
  <r>
    <x v="8"/>
    <x v="13"/>
    <n v="48.126693616174599"/>
    <n v="117"/>
  </r>
  <r>
    <x v="9"/>
    <x v="13"/>
    <n v="53.5830090690432"/>
    <n v="216"/>
  </r>
  <r>
    <x v="10"/>
    <x v="13"/>
    <n v="53.885315181876202"/>
    <n v="103"/>
  </r>
  <r>
    <x v="11"/>
    <x v="13"/>
    <n v="50.1052555793894"/>
    <n v="446"/>
  </r>
  <r>
    <x v="12"/>
    <x v="13"/>
    <n v="39.1252950567835"/>
    <n v="53"/>
  </r>
  <r>
    <x v="0"/>
    <x v="14"/>
    <n v="62.736846697140599"/>
    <n v="13378"/>
  </r>
  <r>
    <x v="0"/>
    <x v="15"/>
    <n v="65.092210365558898"/>
    <n v="22815"/>
  </r>
  <r>
    <x v="1"/>
    <x v="15"/>
    <n v="69.613924753165406"/>
    <n v="739"/>
  </r>
  <r>
    <x v="2"/>
    <x v="15"/>
    <n v="79.164705551931604"/>
    <n v="150"/>
  </r>
  <r>
    <x v="3"/>
    <x v="15"/>
    <n v="68.985699389225204"/>
    <n v="351"/>
  </r>
  <r>
    <x v="4"/>
    <x v="15"/>
    <n v="69.329477258665406"/>
    <n v="88"/>
  </r>
  <r>
    <x v="5"/>
    <x v="15"/>
    <n v="56.405542703648798"/>
    <n v="228"/>
  </r>
  <r>
    <x v="6"/>
    <x v="15"/>
    <n v="63.6609159465944"/>
    <n v="3365"/>
  </r>
  <r>
    <x v="7"/>
    <x v="15"/>
    <n v="64.824228635389204"/>
    <n v="290"/>
  </r>
  <r>
    <x v="8"/>
    <x v="15"/>
    <n v="74.5752238884495"/>
    <n v="104"/>
  </r>
  <r>
    <x v="9"/>
    <x v="15"/>
    <n v="69.185630328958197"/>
    <n v="40"/>
  </r>
  <r>
    <x v="10"/>
    <x v="15"/>
    <n v="57.006471496012701"/>
    <n v="65"/>
  </r>
  <r>
    <x v="11"/>
    <x v="15"/>
    <n v="62.959805682643903"/>
    <n v="1137"/>
  </r>
  <r>
    <x v="12"/>
    <x v="15"/>
    <n v="67.195871385083706"/>
    <n v="24"/>
  </r>
  <r>
    <x v="0"/>
    <x v="16"/>
    <n v="50.3155339173992"/>
    <n v="10623"/>
  </r>
  <r>
    <x v="1"/>
    <x v="16"/>
    <n v="45.396404940776002"/>
    <n v="293"/>
  </r>
  <r>
    <x v="2"/>
    <x v="16"/>
    <n v="54.693854108682103"/>
    <n v="85"/>
  </r>
  <r>
    <x v="3"/>
    <x v="16"/>
    <n v="49.241048177148102"/>
    <n v="133"/>
  </r>
  <r>
    <x v="4"/>
    <x v="16"/>
    <n v="48.350288591756502"/>
    <n v="64"/>
  </r>
  <r>
    <x v="5"/>
    <x v="16"/>
    <n v="51.731895651234503"/>
    <n v="105"/>
  </r>
  <r>
    <x v="6"/>
    <x v="16"/>
    <n v="50.985012106276301"/>
    <n v="1523"/>
  </r>
  <r>
    <x v="7"/>
    <x v="16"/>
    <n v="45.708521393594602"/>
    <n v="127"/>
  </r>
  <r>
    <x v="8"/>
    <x v="16"/>
    <n v="39.482199972128001"/>
    <n v="51"/>
  </r>
  <r>
    <x v="9"/>
    <x v="16"/>
    <n v="49.622762230433402"/>
    <n v="172"/>
  </r>
  <r>
    <x v="10"/>
    <x v="16"/>
    <n v="51.4226483777068"/>
    <n v="47"/>
  </r>
  <r>
    <x v="11"/>
    <x v="16"/>
    <n v="53.088177215239199"/>
    <n v="289"/>
  </r>
  <r>
    <x v="12"/>
    <x v="16"/>
    <n v="53.4277275613317"/>
    <n v="28"/>
  </r>
  <r>
    <x v="0"/>
    <x v="17"/>
    <n v="44.956695934961999"/>
    <n v="112905"/>
  </r>
  <r>
    <x v="1"/>
    <x v="17"/>
    <n v="46.943455913511002"/>
    <n v="1066"/>
  </r>
  <r>
    <x v="2"/>
    <x v="17"/>
    <n v="51.437575148050101"/>
    <n v="271"/>
  </r>
  <r>
    <x v="3"/>
    <x v="17"/>
    <n v="40.901873821008699"/>
    <n v="553"/>
  </r>
  <r>
    <x v="4"/>
    <x v="17"/>
    <n v="38.463718117236098"/>
    <n v="156"/>
  </r>
  <r>
    <x v="5"/>
    <x v="17"/>
    <n v="52.095844174479403"/>
    <n v="340"/>
  </r>
  <r>
    <x v="6"/>
    <x v="17"/>
    <n v="43.678887486846101"/>
    <n v="5445"/>
  </r>
  <r>
    <x v="7"/>
    <x v="17"/>
    <n v="44.768540984547897"/>
    <n v="485"/>
  </r>
  <r>
    <x v="8"/>
    <x v="17"/>
    <n v="44.797959464613001"/>
    <n v="176"/>
  </r>
  <r>
    <x v="9"/>
    <x v="17"/>
    <n v="55.559813900528603"/>
    <n v="236"/>
  </r>
  <r>
    <x v="10"/>
    <x v="17"/>
    <n v="48.122130899420803"/>
    <n v="112"/>
  </r>
  <r>
    <x v="11"/>
    <x v="17"/>
    <n v="43.1003679458912"/>
    <n v="1486"/>
  </r>
  <r>
    <x v="12"/>
    <x v="17"/>
    <n v="55.625432064830299"/>
    <n v="59"/>
  </r>
  <r>
    <x v="0"/>
    <x v="18"/>
    <n v="54.946662756617499"/>
    <n v="113463"/>
  </r>
  <r>
    <x v="1"/>
    <x v="18"/>
    <n v="55.246125221465398"/>
    <n v="1074"/>
  </r>
  <r>
    <x v="2"/>
    <x v="18"/>
    <n v="65.188198007966406"/>
    <n v="268"/>
  </r>
  <r>
    <x v="3"/>
    <x v="18"/>
    <n v="50.191012036541601"/>
    <n v="555"/>
  </r>
  <r>
    <x v="4"/>
    <x v="18"/>
    <n v="49.149086397040001"/>
    <n v="157"/>
  </r>
  <r>
    <x v="5"/>
    <x v="18"/>
    <n v="57.304594707692303"/>
    <n v="344"/>
  </r>
  <r>
    <x v="6"/>
    <x v="18"/>
    <n v="54.641579877167104"/>
    <n v="5468"/>
  </r>
  <r>
    <x v="7"/>
    <x v="18"/>
    <n v="52.559995728543903"/>
    <n v="487"/>
  </r>
  <r>
    <x v="8"/>
    <x v="18"/>
    <n v="56.244790507030999"/>
    <n v="176"/>
  </r>
  <r>
    <x v="9"/>
    <x v="18"/>
    <n v="56.870412978426899"/>
    <n v="238"/>
  </r>
  <r>
    <x v="10"/>
    <x v="18"/>
    <n v="54.543950468841601"/>
    <n v="112"/>
  </r>
  <r>
    <x v="11"/>
    <x v="18"/>
    <n v="49.698293084649599"/>
    <n v="1488"/>
  </r>
  <r>
    <x v="12"/>
    <x v="18"/>
    <n v="72.2022490289486"/>
    <n v="59"/>
  </r>
  <r>
    <x v="0"/>
    <x v="19"/>
    <n v="53.933019078220802"/>
    <n v="333"/>
  </r>
  <r>
    <x v="0"/>
    <x v="20"/>
    <n v="79.469977064439007"/>
    <n v="10902"/>
  </r>
  <r>
    <x v="1"/>
    <x v="20"/>
    <n v="78.572536587415797"/>
    <n v="296"/>
  </r>
  <r>
    <x v="2"/>
    <x v="20"/>
    <n v="76.368802247026196"/>
    <n v="84"/>
  </r>
  <r>
    <x v="3"/>
    <x v="20"/>
    <n v="80.654467056390601"/>
    <n v="132"/>
  </r>
  <r>
    <x v="4"/>
    <x v="20"/>
    <n v="83.678824463860593"/>
    <n v="64"/>
  </r>
  <r>
    <x v="5"/>
    <x v="20"/>
    <n v="78.012845287857104"/>
    <n v="105"/>
  </r>
  <r>
    <x v="6"/>
    <x v="20"/>
    <n v="78.637959870888693"/>
    <n v="1584"/>
  </r>
  <r>
    <x v="7"/>
    <x v="20"/>
    <n v="86.268103073859095"/>
    <n v="125"/>
  </r>
  <r>
    <x v="8"/>
    <x v="20"/>
    <n v="87.418371681557602"/>
    <n v="54"/>
  </r>
  <r>
    <x v="9"/>
    <x v="20"/>
    <n v="87.685120282945505"/>
    <n v="181"/>
  </r>
  <r>
    <x v="10"/>
    <x v="20"/>
    <n v="79.530469753445004"/>
    <n v="46"/>
  </r>
  <r>
    <x v="11"/>
    <x v="20"/>
    <n v="82.454129926923997"/>
    <n v="290"/>
  </r>
  <r>
    <x v="12"/>
    <x v="20"/>
    <n v="80.527480916363103"/>
    <n v="27"/>
  </r>
  <r>
    <x v="0"/>
    <x v="21"/>
    <n v="64.907446013677202"/>
    <n v="35468"/>
  </r>
  <r>
    <x v="1"/>
    <x v="21"/>
    <n v="69.1612064638703"/>
    <n v="867"/>
  </r>
  <r>
    <x v="2"/>
    <x v="21"/>
    <n v="69.913780496033397"/>
    <n v="165"/>
  </r>
  <r>
    <x v="3"/>
    <x v="21"/>
    <n v="71.259451314633495"/>
    <n v="424"/>
  </r>
  <r>
    <x v="4"/>
    <x v="21"/>
    <n v="69.8794925707234"/>
    <n v="92"/>
  </r>
  <r>
    <x v="5"/>
    <x v="21"/>
    <n v="57.828688718751799"/>
    <n v="243"/>
  </r>
  <r>
    <x v="6"/>
    <x v="21"/>
    <n v="64.367633164262301"/>
    <n v="3944"/>
  </r>
  <r>
    <x v="7"/>
    <x v="21"/>
    <n v="64.614934175024999"/>
    <n v="372"/>
  </r>
  <r>
    <x v="8"/>
    <x v="21"/>
    <n v="70.011570596232602"/>
    <n v="122"/>
  </r>
  <r>
    <x v="9"/>
    <x v="21"/>
    <n v="69.405836775045401"/>
    <n v="45"/>
  </r>
  <r>
    <x v="10"/>
    <x v="21"/>
    <n v="57.411509270515502"/>
    <n v="75"/>
  </r>
  <r>
    <x v="11"/>
    <x v="21"/>
    <n v="61.177828407118199"/>
    <n v="1301"/>
  </r>
  <r>
    <x v="12"/>
    <x v="21"/>
    <n v="53.021613534499103"/>
    <n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numFmtId="169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9"/>
  </dataFields>
  <conditionalFormats count="2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2T17:04:45.13" personId="{B0A86080-3FF1-41DA-B9EB-1C8139C00CC1}" id="{405F762F-FEDE-4B39-BCD0-72D378326FD0}">
    <text>Stat po regijah:
SELECT
    rgn.Name AS Regija,
    t.Ime AS Test,
    AVG(r.CentilniRang1) AS CentilXA,
    COUNT(r.CentilniRang1) AS N
FROM TestVbateriji tv
JOIN Test t 
    ON t.ID = tv.IdTest
JOIN Rezultat r
    ON r.IdTest = t.ID
JOIN Merjenec m 
    ON m.ID = r.IdMerjenec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= 20   -- vključi samo teste baterije 20
GROUP BY 
    rgn.Name,
    t.Ime,
    tv.PrioritetaPrikaza
ORDER BY 
    rgn.Name ASC,
    tv.PrioritetaPrikaza ASC;</text>
  </threadedComment>
  <threadedComment ref="A1" dT="2026-04-02T17:05:30.68" personId="{B0A86080-3FF1-41DA-B9EB-1C8139C00CC1}" id="{E67D7697-B063-49FB-92B1-A3B7509C0A1B}" parentId="{405F762F-FEDE-4B39-BCD0-72D378326FD0}">
    <text>--statistike meritve (centili) ločeno po testu za udeležence OKS projekta Zmigaj_se_do_vadbe (ZV) - regije in SLO
--BL, 2026-04-01
--centili Slovenija
SELECT
    t.Ime AS Test,
    AVG(r.CentilniRang1) AS CentilXA,
    COUNT(r.CentilniRang1) AS N --,
    --tv.PrioritetaPrikaza
FROM TestVbateriji tv
JOIN Test t 
    ON t.ID = tv.IdTest
JOIN Rezultat r
    ON r.IdTest = t.ID
JOIN Merjenec m 
    ON m.ID = r.IdMerjenec
JOIN DostopUporabnikaDoClana du
    ON du.IdClan = m.IdClan
WHERE --tv.IdBaterija = 20  AND          -- testi iz baterije 20
   du.IdVloga = 10               -- samo merjenci z vlogo 10
  AND r.CentilniRang1 IS NOT NULL   -- samo veljavni centili
GROUP BY 
    t.Ime  --,     tv.PrioritetaPrikaza
ORDER BY t.ime --  tv.PrioritetaPrikaza ASC;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E2"/>
  <sheetViews>
    <sheetView workbookViewId="0">
      <selection activeCell="C1" sqref="C1"/>
    </sheetView>
  </sheetViews>
  <sheetFormatPr defaultRowHeight="14.4" x14ac:dyDescent="0.3"/>
  <cols>
    <col min="1" max="1" width="4.6640625" customWidth="1"/>
    <col min="4" max="4" width="16.44140625" bestFit="1" customWidth="1"/>
    <col min="5" max="5" width="17.44140625" bestFit="1" customWidth="1"/>
  </cols>
  <sheetData>
    <row r="1" spans="1:5" x14ac:dyDescent="0.3">
      <c r="A1" t="s">
        <v>0</v>
      </c>
      <c r="B1" t="s">
        <v>502</v>
      </c>
      <c r="C1" t="s">
        <v>4</v>
      </c>
      <c r="D1" t="s">
        <v>513</v>
      </c>
      <c r="E1" t="s">
        <v>503</v>
      </c>
    </row>
    <row r="2" spans="1:5" x14ac:dyDescent="0.3">
      <c r="A2">
        <v>1</v>
      </c>
      <c r="B2">
        <v>47894</v>
      </c>
      <c r="C2">
        <v>8</v>
      </c>
      <c r="D2" t="s">
        <v>514</v>
      </c>
      <c r="E2" t="s">
        <v>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9.21875" bestFit="1" customWidth="1"/>
    <col min="2" max="2" width="17.44140625" bestFit="1" customWidth="1"/>
    <col min="3" max="3" width="7.77734375" style="4" bestFit="1" customWidth="1"/>
    <col min="8" max="8" width="18.77734375" bestFit="1" customWidth="1"/>
    <col min="9" max="9" width="18.109375" bestFit="1" customWidth="1"/>
  </cols>
  <sheetData>
    <row r="1" spans="1:9" x14ac:dyDescent="0.3">
      <c r="A1" t="s">
        <v>512</v>
      </c>
      <c r="B1" t="s">
        <v>506</v>
      </c>
      <c r="C1" s="4" t="s">
        <v>511</v>
      </c>
      <c r="D1" t="s">
        <v>516</v>
      </c>
    </row>
    <row r="2" spans="1:9" x14ac:dyDescent="0.3">
      <c r="A2" t="s">
        <v>505</v>
      </c>
      <c r="B2" t="s">
        <v>517</v>
      </c>
      <c r="C2" s="4">
        <v>45.898605534257399</v>
      </c>
      <c r="D2">
        <v>19884</v>
      </c>
      <c r="H2" s="5" t="s">
        <v>506</v>
      </c>
      <c r="I2" t="s">
        <v>517</v>
      </c>
    </row>
    <row r="3" spans="1:9" x14ac:dyDescent="0.3">
      <c r="A3" t="s">
        <v>6</v>
      </c>
      <c r="B3" t="s">
        <v>517</v>
      </c>
      <c r="C3" s="4">
        <v>47.403438483789401</v>
      </c>
      <c r="D3">
        <v>167</v>
      </c>
    </row>
    <row r="4" spans="1:9" x14ac:dyDescent="0.3">
      <c r="A4" t="s">
        <v>52</v>
      </c>
      <c r="B4" t="s">
        <v>517</v>
      </c>
      <c r="C4" s="4">
        <v>49.549960943097801</v>
      </c>
      <c r="D4">
        <v>84</v>
      </c>
      <c r="H4" s="5" t="s">
        <v>539</v>
      </c>
      <c r="I4" t="s">
        <v>541</v>
      </c>
    </row>
    <row r="5" spans="1:9" x14ac:dyDescent="0.3">
      <c r="A5" t="s">
        <v>96</v>
      </c>
      <c r="B5" t="s">
        <v>517</v>
      </c>
      <c r="C5" s="4">
        <v>45.468040441577102</v>
      </c>
      <c r="D5">
        <v>122</v>
      </c>
      <c r="H5" s="6" t="s">
        <v>6</v>
      </c>
      <c r="I5" s="4">
        <v>47.403438483789401</v>
      </c>
    </row>
    <row r="6" spans="1:9" x14ac:dyDescent="0.3">
      <c r="A6" t="s">
        <v>143</v>
      </c>
      <c r="B6" t="s">
        <v>517</v>
      </c>
      <c r="C6" s="4">
        <v>39.985276858955302</v>
      </c>
      <c r="D6">
        <v>41</v>
      </c>
      <c r="H6" s="6" t="s">
        <v>52</v>
      </c>
      <c r="I6" s="4">
        <v>49.549960943097801</v>
      </c>
    </row>
    <row r="7" spans="1:9" x14ac:dyDescent="0.3">
      <c r="A7" t="s">
        <v>163</v>
      </c>
      <c r="B7" t="s">
        <v>517</v>
      </c>
      <c r="C7" s="4">
        <v>42.328426016957202</v>
      </c>
      <c r="D7">
        <v>70</v>
      </c>
      <c r="H7" s="6" t="s">
        <v>96</v>
      </c>
      <c r="I7" s="4">
        <v>45.468040441577102</v>
      </c>
    </row>
    <row r="8" spans="1:9" x14ac:dyDescent="0.3">
      <c r="A8" t="s">
        <v>191</v>
      </c>
      <c r="B8" t="s">
        <v>517</v>
      </c>
      <c r="C8" s="4">
        <v>44.7408214844612</v>
      </c>
      <c r="D8">
        <v>1530</v>
      </c>
      <c r="H8" s="6" t="s">
        <v>143</v>
      </c>
      <c r="I8" s="4">
        <v>39.985276858955302</v>
      </c>
    </row>
    <row r="9" spans="1:9" x14ac:dyDescent="0.3">
      <c r="A9" t="s">
        <v>253</v>
      </c>
      <c r="B9" t="s">
        <v>517</v>
      </c>
      <c r="C9" s="4">
        <v>58.041481211427403</v>
      </c>
      <c r="D9">
        <v>69</v>
      </c>
      <c r="H9" s="6" t="s">
        <v>163</v>
      </c>
      <c r="I9" s="4">
        <v>42.328426016957202</v>
      </c>
    </row>
    <row r="10" spans="1:9" x14ac:dyDescent="0.3">
      <c r="A10" t="s">
        <v>333</v>
      </c>
      <c r="B10" t="s">
        <v>517</v>
      </c>
      <c r="C10" s="4">
        <v>57.547824248004297</v>
      </c>
      <c r="D10">
        <v>44</v>
      </c>
      <c r="H10" s="6" t="s">
        <v>191</v>
      </c>
      <c r="I10" s="4">
        <v>44.7408214844612</v>
      </c>
    </row>
    <row r="11" spans="1:9" x14ac:dyDescent="0.3">
      <c r="A11" t="s">
        <v>371</v>
      </c>
      <c r="B11" t="s">
        <v>517</v>
      </c>
      <c r="C11" s="4">
        <v>37.5728138326173</v>
      </c>
      <c r="D11">
        <v>172</v>
      </c>
      <c r="H11" s="6" t="s">
        <v>253</v>
      </c>
      <c r="I11" s="4">
        <v>58.041481211427403</v>
      </c>
    </row>
    <row r="12" spans="1:9" x14ac:dyDescent="0.3">
      <c r="A12" t="s">
        <v>402</v>
      </c>
      <c r="B12" t="s">
        <v>517</v>
      </c>
      <c r="C12" s="4">
        <v>48.707977329237202</v>
      </c>
      <c r="D12">
        <v>37</v>
      </c>
      <c r="H12" s="6" t="s">
        <v>333</v>
      </c>
      <c r="I12" s="4">
        <v>57.547824248004297</v>
      </c>
    </row>
    <row r="13" spans="1:9" x14ac:dyDescent="0.3">
      <c r="A13" t="s">
        <v>420</v>
      </c>
      <c r="B13" t="s">
        <v>517</v>
      </c>
      <c r="C13" s="4">
        <v>52.687803510197</v>
      </c>
      <c r="D13">
        <v>203</v>
      </c>
      <c r="H13" s="6" t="s">
        <v>371</v>
      </c>
      <c r="I13" s="4">
        <v>37.5728138326173</v>
      </c>
    </row>
    <row r="14" spans="1:9" x14ac:dyDescent="0.3">
      <c r="A14" t="s">
        <v>491</v>
      </c>
      <c r="B14" t="s">
        <v>517</v>
      </c>
      <c r="C14" s="4">
        <v>46.2503544661785</v>
      </c>
      <c r="D14">
        <v>26</v>
      </c>
      <c r="H14" s="6" t="s">
        <v>402</v>
      </c>
      <c r="I14" s="4">
        <v>48.707977329237202</v>
      </c>
    </row>
    <row r="15" spans="1:9" x14ac:dyDescent="0.3">
      <c r="A15" t="s">
        <v>505</v>
      </c>
      <c r="B15" t="s">
        <v>518</v>
      </c>
      <c r="C15" s="4">
        <v>61.859425770594299</v>
      </c>
      <c r="D15">
        <v>69456</v>
      </c>
      <c r="H15" s="6" t="s">
        <v>420</v>
      </c>
      <c r="I15" s="4">
        <v>52.687803510197</v>
      </c>
    </row>
    <row r="16" spans="1:9" x14ac:dyDescent="0.3">
      <c r="A16" t="s">
        <v>6</v>
      </c>
      <c r="B16" t="s">
        <v>518</v>
      </c>
      <c r="C16" s="4">
        <v>64.448408615517494</v>
      </c>
      <c r="D16">
        <v>1010</v>
      </c>
      <c r="H16" s="6" t="s">
        <v>505</v>
      </c>
      <c r="I16" s="4">
        <v>45.898605534257399</v>
      </c>
    </row>
    <row r="17" spans="1:9" x14ac:dyDescent="0.3">
      <c r="A17" t="s">
        <v>52</v>
      </c>
      <c r="B17" t="s">
        <v>518</v>
      </c>
      <c r="C17" s="4">
        <v>68.243981227685396</v>
      </c>
      <c r="D17">
        <v>241</v>
      </c>
      <c r="H17" s="6" t="s">
        <v>491</v>
      </c>
      <c r="I17" s="4">
        <v>46.2503544661785</v>
      </c>
    </row>
    <row r="18" spans="1:9" x14ac:dyDescent="0.3">
      <c r="A18" t="s">
        <v>96</v>
      </c>
      <c r="B18" t="s">
        <v>518</v>
      </c>
      <c r="C18" s="4">
        <v>63.138306574372798</v>
      </c>
      <c r="D18">
        <v>516</v>
      </c>
      <c r="H18" s="6" t="s">
        <v>540</v>
      </c>
      <c r="I18" s="4">
        <v>47.398678796981315</v>
      </c>
    </row>
    <row r="19" spans="1:9" x14ac:dyDescent="0.3">
      <c r="A19" t="s">
        <v>143</v>
      </c>
      <c r="B19" t="s">
        <v>518</v>
      </c>
      <c r="C19" s="4">
        <v>61.650970704337603</v>
      </c>
      <c r="D19">
        <v>151</v>
      </c>
    </row>
    <row r="20" spans="1:9" x14ac:dyDescent="0.3">
      <c r="A20" t="s">
        <v>163</v>
      </c>
      <c r="B20" t="s">
        <v>518</v>
      </c>
      <c r="C20" s="4">
        <v>59.389565108445503</v>
      </c>
      <c r="D20">
        <v>325</v>
      </c>
    </row>
    <row r="21" spans="1:9" x14ac:dyDescent="0.3">
      <c r="A21" t="s">
        <v>191</v>
      </c>
      <c r="B21" t="s">
        <v>518</v>
      </c>
      <c r="C21" s="4">
        <v>61.2586151987609</v>
      </c>
      <c r="D21">
        <v>4895</v>
      </c>
    </row>
    <row r="22" spans="1:9" x14ac:dyDescent="0.3">
      <c r="A22" t="s">
        <v>253</v>
      </c>
      <c r="B22" t="s">
        <v>518</v>
      </c>
      <c r="C22" s="4">
        <v>63.5095650083449</v>
      </c>
      <c r="D22">
        <v>468</v>
      </c>
    </row>
    <row r="23" spans="1:9" x14ac:dyDescent="0.3">
      <c r="A23" t="s">
        <v>333</v>
      </c>
      <c r="B23" t="s">
        <v>518</v>
      </c>
      <c r="C23" s="4">
        <v>69.4869477721941</v>
      </c>
      <c r="D23">
        <v>172</v>
      </c>
    </row>
    <row r="24" spans="1:9" x14ac:dyDescent="0.3">
      <c r="A24" t="s">
        <v>371</v>
      </c>
      <c r="B24" t="s">
        <v>518</v>
      </c>
      <c r="C24" s="4">
        <v>67.441745285494903</v>
      </c>
      <c r="D24">
        <v>229</v>
      </c>
    </row>
    <row r="25" spans="1:9" x14ac:dyDescent="0.3">
      <c r="A25" t="s">
        <v>402</v>
      </c>
      <c r="B25" t="s">
        <v>518</v>
      </c>
      <c r="C25" s="4">
        <v>65.998355987718696</v>
      </c>
      <c r="D25">
        <v>105</v>
      </c>
    </row>
    <row r="26" spans="1:9" x14ac:dyDescent="0.3">
      <c r="A26" t="s">
        <v>420</v>
      </c>
      <c r="B26" t="s">
        <v>518</v>
      </c>
      <c r="C26" s="4">
        <v>59.1261023499139</v>
      </c>
      <c r="D26">
        <v>1449</v>
      </c>
    </row>
    <row r="27" spans="1:9" x14ac:dyDescent="0.3">
      <c r="A27" t="s">
        <v>491</v>
      </c>
      <c r="B27" t="s">
        <v>518</v>
      </c>
      <c r="C27" s="4">
        <v>65.849143997583596</v>
      </c>
      <c r="D27">
        <v>56</v>
      </c>
    </row>
    <row r="28" spans="1:9" x14ac:dyDescent="0.3">
      <c r="A28" t="s">
        <v>505</v>
      </c>
      <c r="B28" t="s">
        <v>519</v>
      </c>
      <c r="C28" s="4">
        <v>55.661144882087001</v>
      </c>
      <c r="D28">
        <v>14414</v>
      </c>
    </row>
    <row r="29" spans="1:9" x14ac:dyDescent="0.3">
      <c r="A29" t="s">
        <v>505</v>
      </c>
      <c r="B29" t="s">
        <v>510</v>
      </c>
      <c r="C29" s="4">
        <v>63.4012882175344</v>
      </c>
      <c r="D29">
        <v>112680</v>
      </c>
    </row>
    <row r="30" spans="1:9" x14ac:dyDescent="0.3">
      <c r="A30" t="s">
        <v>6</v>
      </c>
      <c r="B30" t="s">
        <v>510</v>
      </c>
      <c r="C30" s="4">
        <v>65.530243828187807</v>
      </c>
      <c r="D30">
        <v>1066</v>
      </c>
    </row>
    <row r="31" spans="1:9" x14ac:dyDescent="0.3">
      <c r="A31" t="s">
        <v>52</v>
      </c>
      <c r="B31" t="s">
        <v>510</v>
      </c>
      <c r="C31" s="4">
        <v>64.179445006669596</v>
      </c>
      <c r="D31">
        <v>268</v>
      </c>
    </row>
    <row r="32" spans="1:9" x14ac:dyDescent="0.3">
      <c r="A32" t="s">
        <v>96</v>
      </c>
      <c r="B32" t="s">
        <v>510</v>
      </c>
      <c r="C32" s="4">
        <v>61.726062333311603</v>
      </c>
      <c r="D32">
        <v>552</v>
      </c>
    </row>
    <row r="33" spans="1:4" x14ac:dyDescent="0.3">
      <c r="A33" t="s">
        <v>143</v>
      </c>
      <c r="B33" t="s">
        <v>510</v>
      </c>
      <c r="C33" s="4">
        <v>64.408793384751206</v>
      </c>
      <c r="D33">
        <v>156</v>
      </c>
    </row>
    <row r="34" spans="1:4" x14ac:dyDescent="0.3">
      <c r="A34" t="s">
        <v>163</v>
      </c>
      <c r="B34" t="s">
        <v>510</v>
      </c>
      <c r="C34" s="4">
        <v>52.365209085664198</v>
      </c>
      <c r="D34">
        <v>340</v>
      </c>
    </row>
    <row r="35" spans="1:4" x14ac:dyDescent="0.3">
      <c r="A35" t="s">
        <v>191</v>
      </c>
      <c r="B35" t="s">
        <v>510</v>
      </c>
      <c r="C35" s="4">
        <v>64.889610353808095</v>
      </c>
      <c r="D35">
        <v>5435</v>
      </c>
    </row>
    <row r="36" spans="1:4" x14ac:dyDescent="0.3">
      <c r="A36" t="s">
        <v>253</v>
      </c>
      <c r="B36" t="s">
        <v>510</v>
      </c>
      <c r="C36" s="4">
        <v>61.977832811772402</v>
      </c>
      <c r="D36">
        <v>483</v>
      </c>
    </row>
    <row r="37" spans="1:4" x14ac:dyDescent="0.3">
      <c r="A37" t="s">
        <v>333</v>
      </c>
      <c r="B37" t="s">
        <v>510</v>
      </c>
      <c r="C37" s="4">
        <v>65.2944828417792</v>
      </c>
      <c r="D37">
        <v>176</v>
      </c>
    </row>
    <row r="38" spans="1:4" x14ac:dyDescent="0.3">
      <c r="A38" t="s">
        <v>371</v>
      </c>
      <c r="B38" t="s">
        <v>510</v>
      </c>
      <c r="C38" s="4">
        <v>46.998091475705202</v>
      </c>
      <c r="D38">
        <v>236</v>
      </c>
    </row>
    <row r="39" spans="1:4" x14ac:dyDescent="0.3">
      <c r="A39" t="s">
        <v>402</v>
      </c>
      <c r="B39" t="s">
        <v>510</v>
      </c>
      <c r="C39" s="4">
        <v>57.772054341643098</v>
      </c>
      <c r="D39">
        <v>112</v>
      </c>
    </row>
    <row r="40" spans="1:4" x14ac:dyDescent="0.3">
      <c r="A40" t="s">
        <v>420</v>
      </c>
      <c r="B40" t="s">
        <v>510</v>
      </c>
      <c r="C40" s="4">
        <v>59.433243297663203</v>
      </c>
      <c r="D40">
        <v>1483</v>
      </c>
    </row>
    <row r="41" spans="1:4" x14ac:dyDescent="0.3">
      <c r="A41" t="s">
        <v>491</v>
      </c>
      <c r="B41" t="s">
        <v>510</v>
      </c>
      <c r="C41" s="4">
        <v>58.112522389522098</v>
      </c>
      <c r="D41">
        <v>59</v>
      </c>
    </row>
    <row r="42" spans="1:4" x14ac:dyDescent="0.3">
      <c r="A42" t="s">
        <v>505</v>
      </c>
      <c r="B42" t="s">
        <v>520</v>
      </c>
      <c r="C42" s="4">
        <v>68.326974225841994</v>
      </c>
      <c r="D42">
        <v>6129</v>
      </c>
    </row>
    <row r="43" spans="1:4" x14ac:dyDescent="0.3">
      <c r="A43" t="s">
        <v>505</v>
      </c>
      <c r="B43" t="s">
        <v>521</v>
      </c>
      <c r="C43" s="4">
        <v>64.015389907808895</v>
      </c>
      <c r="D43">
        <v>14244</v>
      </c>
    </row>
    <row r="44" spans="1:4" x14ac:dyDescent="0.3">
      <c r="A44" t="s">
        <v>505</v>
      </c>
      <c r="B44" t="s">
        <v>522</v>
      </c>
      <c r="C44" s="4">
        <v>53.697158157179103</v>
      </c>
      <c r="D44">
        <v>15292</v>
      </c>
    </row>
    <row r="45" spans="1:4" x14ac:dyDescent="0.3">
      <c r="A45" t="s">
        <v>6</v>
      </c>
      <c r="B45" t="s">
        <v>522</v>
      </c>
      <c r="C45" s="4">
        <v>52.570898919692397</v>
      </c>
      <c r="D45">
        <v>306</v>
      </c>
    </row>
    <row r="46" spans="1:4" x14ac:dyDescent="0.3">
      <c r="A46" t="s">
        <v>52</v>
      </c>
      <c r="B46" t="s">
        <v>522</v>
      </c>
      <c r="C46" s="4">
        <v>56.2000095402095</v>
      </c>
      <c r="D46">
        <v>87</v>
      </c>
    </row>
    <row r="47" spans="1:4" x14ac:dyDescent="0.3">
      <c r="A47" t="s">
        <v>96</v>
      </c>
      <c r="B47" t="s">
        <v>522</v>
      </c>
      <c r="C47" s="4">
        <v>56.639997361358503</v>
      </c>
      <c r="D47">
        <v>141</v>
      </c>
    </row>
    <row r="48" spans="1:4" x14ac:dyDescent="0.3">
      <c r="A48" t="s">
        <v>143</v>
      </c>
      <c r="B48" t="s">
        <v>522</v>
      </c>
      <c r="C48" s="4">
        <v>65.273677127912805</v>
      </c>
      <c r="D48">
        <v>67</v>
      </c>
    </row>
    <row r="49" spans="1:4" x14ac:dyDescent="0.3">
      <c r="A49" t="s">
        <v>163</v>
      </c>
      <c r="B49" t="s">
        <v>522</v>
      </c>
      <c r="C49" s="4">
        <v>51.785195029806303</v>
      </c>
      <c r="D49">
        <v>104</v>
      </c>
    </row>
    <row r="50" spans="1:4" x14ac:dyDescent="0.3">
      <c r="A50" t="s">
        <v>191</v>
      </c>
      <c r="B50" t="s">
        <v>522</v>
      </c>
      <c r="C50" s="4">
        <v>53.765226633869098</v>
      </c>
      <c r="D50">
        <v>1595</v>
      </c>
    </row>
    <row r="51" spans="1:4" x14ac:dyDescent="0.3">
      <c r="A51" t="s">
        <v>253</v>
      </c>
      <c r="B51" t="s">
        <v>522</v>
      </c>
      <c r="C51" s="4">
        <v>56.957425172463999</v>
      </c>
      <c r="D51">
        <v>129</v>
      </c>
    </row>
    <row r="52" spans="1:4" x14ac:dyDescent="0.3">
      <c r="A52" t="s">
        <v>333</v>
      </c>
      <c r="B52" t="s">
        <v>522</v>
      </c>
      <c r="C52" s="4">
        <v>66.126187877309903</v>
      </c>
      <c r="D52">
        <v>53</v>
      </c>
    </row>
    <row r="53" spans="1:4" x14ac:dyDescent="0.3">
      <c r="A53" t="s">
        <v>371</v>
      </c>
      <c r="B53" t="s">
        <v>522</v>
      </c>
      <c r="C53" s="4">
        <v>42.040155333313997</v>
      </c>
      <c r="D53">
        <v>178</v>
      </c>
    </row>
    <row r="54" spans="1:4" x14ac:dyDescent="0.3">
      <c r="A54" t="s">
        <v>402</v>
      </c>
      <c r="B54" t="s">
        <v>522</v>
      </c>
      <c r="C54" s="4">
        <v>52.1139427828059</v>
      </c>
      <c r="D54">
        <v>46</v>
      </c>
    </row>
    <row r="55" spans="1:4" x14ac:dyDescent="0.3">
      <c r="A55" t="s">
        <v>420</v>
      </c>
      <c r="B55" t="s">
        <v>522</v>
      </c>
      <c r="C55" s="4">
        <v>57.719228367273402</v>
      </c>
      <c r="D55">
        <v>297</v>
      </c>
    </row>
    <row r="56" spans="1:4" x14ac:dyDescent="0.3">
      <c r="A56" t="s">
        <v>491</v>
      </c>
      <c r="B56" t="s">
        <v>522</v>
      </c>
      <c r="C56" s="4">
        <v>38.480238583292397</v>
      </c>
      <c r="D56">
        <v>31</v>
      </c>
    </row>
    <row r="57" spans="1:4" x14ac:dyDescent="0.3">
      <c r="A57" t="s">
        <v>505</v>
      </c>
      <c r="B57" t="s">
        <v>523</v>
      </c>
      <c r="C57" s="4">
        <v>33.533826370018403</v>
      </c>
      <c r="D57">
        <v>24948</v>
      </c>
    </row>
    <row r="58" spans="1:4" x14ac:dyDescent="0.3">
      <c r="A58" t="s">
        <v>6</v>
      </c>
      <c r="B58" t="s">
        <v>523</v>
      </c>
      <c r="C58" s="4">
        <v>34.725366328251503</v>
      </c>
      <c r="D58">
        <v>307</v>
      </c>
    </row>
    <row r="59" spans="1:4" x14ac:dyDescent="0.3">
      <c r="A59" t="s">
        <v>52</v>
      </c>
      <c r="B59" t="s">
        <v>523</v>
      </c>
      <c r="C59" s="4">
        <v>37.3124829898603</v>
      </c>
      <c r="D59">
        <v>87</v>
      </c>
    </row>
    <row r="60" spans="1:4" x14ac:dyDescent="0.3">
      <c r="A60" t="s">
        <v>96</v>
      </c>
      <c r="B60" t="s">
        <v>523</v>
      </c>
      <c r="C60" s="4">
        <v>37.540867499998598</v>
      </c>
      <c r="D60">
        <v>160</v>
      </c>
    </row>
    <row r="61" spans="1:4" x14ac:dyDescent="0.3">
      <c r="A61" t="s">
        <v>143</v>
      </c>
      <c r="B61" t="s">
        <v>523</v>
      </c>
      <c r="C61" s="4">
        <v>36.128660189547801</v>
      </c>
      <c r="D61">
        <v>66</v>
      </c>
    </row>
    <row r="62" spans="1:4" x14ac:dyDescent="0.3">
      <c r="A62" t="s">
        <v>163</v>
      </c>
      <c r="B62" t="s">
        <v>523</v>
      </c>
      <c r="C62" s="4">
        <v>33.630302898423999</v>
      </c>
      <c r="D62">
        <v>106</v>
      </c>
    </row>
    <row r="63" spans="1:4" x14ac:dyDescent="0.3">
      <c r="A63" t="s">
        <v>191</v>
      </c>
      <c r="B63" t="s">
        <v>523</v>
      </c>
      <c r="C63" s="4">
        <v>32.176286239259497</v>
      </c>
      <c r="D63">
        <v>1716</v>
      </c>
    </row>
    <row r="64" spans="1:4" x14ac:dyDescent="0.3">
      <c r="A64" t="s">
        <v>253</v>
      </c>
      <c r="B64" t="s">
        <v>523</v>
      </c>
      <c r="C64" s="4">
        <v>34.930081172059801</v>
      </c>
      <c r="D64">
        <v>134</v>
      </c>
    </row>
    <row r="65" spans="1:4" x14ac:dyDescent="0.3">
      <c r="A65" t="s">
        <v>333</v>
      </c>
      <c r="B65" t="s">
        <v>523</v>
      </c>
      <c r="C65" s="4">
        <v>33.8697091929373</v>
      </c>
      <c r="D65">
        <v>57</v>
      </c>
    </row>
    <row r="66" spans="1:4" x14ac:dyDescent="0.3">
      <c r="A66" t="s">
        <v>371</v>
      </c>
      <c r="B66" t="s">
        <v>523</v>
      </c>
      <c r="C66" s="4">
        <v>45.330007201012101</v>
      </c>
      <c r="D66">
        <v>190</v>
      </c>
    </row>
    <row r="67" spans="1:4" x14ac:dyDescent="0.3">
      <c r="A67" t="s">
        <v>402</v>
      </c>
      <c r="B67" t="s">
        <v>523</v>
      </c>
      <c r="C67" s="4">
        <v>33.654954772795698</v>
      </c>
      <c r="D67">
        <v>50</v>
      </c>
    </row>
    <row r="68" spans="1:4" x14ac:dyDescent="0.3">
      <c r="A68" t="s">
        <v>420</v>
      </c>
      <c r="B68" t="s">
        <v>523</v>
      </c>
      <c r="C68" s="4">
        <v>33.332790420978696</v>
      </c>
      <c r="D68">
        <v>310</v>
      </c>
    </row>
    <row r="69" spans="1:4" x14ac:dyDescent="0.3">
      <c r="A69" t="s">
        <v>491</v>
      </c>
      <c r="B69" t="s">
        <v>523</v>
      </c>
      <c r="C69" s="4">
        <v>37.565077958014598</v>
      </c>
      <c r="D69">
        <v>33</v>
      </c>
    </row>
    <row r="70" spans="1:4" x14ac:dyDescent="0.3">
      <c r="A70" t="s">
        <v>505</v>
      </c>
      <c r="B70" t="s">
        <v>524</v>
      </c>
      <c r="C70" s="4">
        <v>65.466843015554005</v>
      </c>
      <c r="D70">
        <v>14284</v>
      </c>
    </row>
    <row r="71" spans="1:4" x14ac:dyDescent="0.3">
      <c r="A71" t="s">
        <v>505</v>
      </c>
      <c r="B71" t="s">
        <v>525</v>
      </c>
      <c r="C71" s="4">
        <v>61.351768828458802</v>
      </c>
      <c r="D71">
        <v>14548</v>
      </c>
    </row>
    <row r="72" spans="1:4" x14ac:dyDescent="0.3">
      <c r="A72" t="s">
        <v>505</v>
      </c>
      <c r="B72" t="s">
        <v>526</v>
      </c>
      <c r="C72" s="4">
        <v>42.712666945560002</v>
      </c>
      <c r="D72">
        <v>26625</v>
      </c>
    </row>
    <row r="73" spans="1:4" x14ac:dyDescent="0.3">
      <c r="A73" t="s">
        <v>6</v>
      </c>
      <c r="B73" t="s">
        <v>526</v>
      </c>
      <c r="C73" s="4">
        <v>40.736015184493397</v>
      </c>
      <c r="D73">
        <v>407</v>
      </c>
    </row>
    <row r="74" spans="1:4" x14ac:dyDescent="0.3">
      <c r="A74" t="s">
        <v>52</v>
      </c>
      <c r="B74" t="s">
        <v>526</v>
      </c>
      <c r="C74" s="4">
        <v>43.219114083155397</v>
      </c>
      <c r="D74">
        <v>154</v>
      </c>
    </row>
    <row r="75" spans="1:4" x14ac:dyDescent="0.3">
      <c r="A75" t="s">
        <v>96</v>
      </c>
      <c r="B75" t="s">
        <v>526</v>
      </c>
      <c r="C75" s="4">
        <v>43.450132359176799</v>
      </c>
      <c r="D75">
        <v>211</v>
      </c>
    </row>
    <row r="76" spans="1:4" x14ac:dyDescent="0.3">
      <c r="A76" t="s">
        <v>143</v>
      </c>
      <c r="B76" t="s">
        <v>526</v>
      </c>
      <c r="C76" s="4">
        <v>36.092427793259397</v>
      </c>
      <c r="D76">
        <v>132</v>
      </c>
    </row>
    <row r="77" spans="1:4" x14ac:dyDescent="0.3">
      <c r="A77" t="s">
        <v>163</v>
      </c>
      <c r="B77" t="s">
        <v>526</v>
      </c>
      <c r="C77" s="4">
        <v>38.111316710960601</v>
      </c>
      <c r="D77">
        <v>187</v>
      </c>
    </row>
    <row r="78" spans="1:4" x14ac:dyDescent="0.3">
      <c r="A78" t="s">
        <v>191</v>
      </c>
      <c r="B78" t="s">
        <v>526</v>
      </c>
      <c r="C78" s="4">
        <v>43.764208355606797</v>
      </c>
      <c r="D78">
        <v>1986</v>
      </c>
    </row>
    <row r="79" spans="1:4" x14ac:dyDescent="0.3">
      <c r="A79" t="s">
        <v>253</v>
      </c>
      <c r="B79" t="s">
        <v>526</v>
      </c>
      <c r="C79" s="4">
        <v>38.252192028693599</v>
      </c>
      <c r="D79">
        <v>293</v>
      </c>
    </row>
    <row r="80" spans="1:4" x14ac:dyDescent="0.3">
      <c r="A80" t="s">
        <v>333</v>
      </c>
      <c r="B80" t="s">
        <v>526</v>
      </c>
      <c r="C80" s="4">
        <v>40.466069288879297</v>
      </c>
      <c r="D80">
        <v>114</v>
      </c>
    </row>
    <row r="81" spans="1:4" x14ac:dyDescent="0.3">
      <c r="A81" t="s">
        <v>371</v>
      </c>
      <c r="B81" t="s">
        <v>526</v>
      </c>
      <c r="C81" s="4">
        <v>40.8892282486676</v>
      </c>
      <c r="D81">
        <v>211</v>
      </c>
    </row>
    <row r="82" spans="1:4" x14ac:dyDescent="0.3">
      <c r="A82" t="s">
        <v>402</v>
      </c>
      <c r="B82" t="s">
        <v>526</v>
      </c>
      <c r="C82" s="4">
        <v>38.403917916557504</v>
      </c>
      <c r="D82">
        <v>100</v>
      </c>
    </row>
    <row r="83" spans="1:4" x14ac:dyDescent="0.3">
      <c r="A83" t="s">
        <v>420</v>
      </c>
      <c r="B83" t="s">
        <v>526</v>
      </c>
      <c r="C83" s="4">
        <v>38.654035245688199</v>
      </c>
      <c r="D83">
        <v>434</v>
      </c>
    </row>
    <row r="84" spans="1:4" x14ac:dyDescent="0.3">
      <c r="A84" t="s">
        <v>491</v>
      </c>
      <c r="B84" t="s">
        <v>526</v>
      </c>
      <c r="C84" s="4">
        <v>40.682511076372201</v>
      </c>
      <c r="D84">
        <v>50</v>
      </c>
    </row>
    <row r="85" spans="1:4" x14ac:dyDescent="0.3">
      <c r="A85" t="s">
        <v>505</v>
      </c>
      <c r="B85" t="s">
        <v>527</v>
      </c>
      <c r="C85" s="4">
        <v>73.081544716928903</v>
      </c>
      <c r="D85">
        <v>21858</v>
      </c>
    </row>
    <row r="86" spans="1:4" x14ac:dyDescent="0.3">
      <c r="A86" t="s">
        <v>505</v>
      </c>
      <c r="B86" t="s">
        <v>528</v>
      </c>
      <c r="C86" s="4">
        <v>55.066957784531802</v>
      </c>
      <c r="D86">
        <v>333</v>
      </c>
    </row>
    <row r="87" spans="1:4" x14ac:dyDescent="0.3">
      <c r="A87" t="s">
        <v>505</v>
      </c>
      <c r="B87" t="s">
        <v>529</v>
      </c>
      <c r="C87" s="4">
        <v>49.248488611347398</v>
      </c>
      <c r="D87">
        <v>40677</v>
      </c>
    </row>
    <row r="88" spans="1:4" x14ac:dyDescent="0.3">
      <c r="A88" t="s">
        <v>6</v>
      </c>
      <c r="B88" t="s">
        <v>529</v>
      </c>
      <c r="C88" s="4">
        <v>54.609639948049903</v>
      </c>
      <c r="D88">
        <v>444</v>
      </c>
    </row>
    <row r="89" spans="1:4" x14ac:dyDescent="0.3">
      <c r="A89" t="s">
        <v>52</v>
      </c>
      <c r="B89" t="s">
        <v>529</v>
      </c>
      <c r="C89" s="4">
        <v>54.405738377296203</v>
      </c>
      <c r="D89">
        <v>152</v>
      </c>
    </row>
    <row r="90" spans="1:4" x14ac:dyDescent="0.3">
      <c r="A90" t="s">
        <v>96</v>
      </c>
      <c r="B90" t="s">
        <v>529</v>
      </c>
      <c r="C90" s="4">
        <v>53.665815840539501</v>
      </c>
      <c r="D90">
        <v>222</v>
      </c>
    </row>
    <row r="91" spans="1:4" x14ac:dyDescent="0.3">
      <c r="A91" t="s">
        <v>143</v>
      </c>
      <c r="B91" t="s">
        <v>529</v>
      </c>
      <c r="C91" s="4">
        <v>46.796221411784998</v>
      </c>
      <c r="D91">
        <v>132</v>
      </c>
    </row>
    <row r="92" spans="1:4" x14ac:dyDescent="0.3">
      <c r="A92" t="s">
        <v>163</v>
      </c>
      <c r="B92" t="s">
        <v>529</v>
      </c>
      <c r="C92" s="4">
        <v>51.1563808307668</v>
      </c>
      <c r="D92">
        <v>192</v>
      </c>
    </row>
    <row r="93" spans="1:4" x14ac:dyDescent="0.3">
      <c r="A93" t="s">
        <v>191</v>
      </c>
      <c r="B93" t="s">
        <v>529</v>
      </c>
      <c r="C93" s="4">
        <v>47.5824975087639</v>
      </c>
      <c r="D93">
        <v>2348</v>
      </c>
    </row>
    <row r="94" spans="1:4" x14ac:dyDescent="0.3">
      <c r="A94" t="s">
        <v>253</v>
      </c>
      <c r="B94" t="s">
        <v>529</v>
      </c>
      <c r="C94" s="4">
        <v>44.907350299407902</v>
      </c>
      <c r="D94">
        <v>310</v>
      </c>
    </row>
    <row r="95" spans="1:4" x14ac:dyDescent="0.3">
      <c r="A95" t="s">
        <v>333</v>
      </c>
      <c r="B95" t="s">
        <v>529</v>
      </c>
      <c r="C95" s="4">
        <v>48.126693616174599</v>
      </c>
      <c r="D95">
        <v>117</v>
      </c>
    </row>
    <row r="96" spans="1:4" x14ac:dyDescent="0.3">
      <c r="A96" t="s">
        <v>371</v>
      </c>
      <c r="B96" t="s">
        <v>529</v>
      </c>
      <c r="C96" s="4">
        <v>53.5830090690432</v>
      </c>
      <c r="D96">
        <v>216</v>
      </c>
    </row>
    <row r="97" spans="1:4" x14ac:dyDescent="0.3">
      <c r="A97" t="s">
        <v>402</v>
      </c>
      <c r="B97" t="s">
        <v>529</v>
      </c>
      <c r="C97" s="4">
        <v>53.885315181876202</v>
      </c>
      <c r="D97">
        <v>103</v>
      </c>
    </row>
    <row r="98" spans="1:4" x14ac:dyDescent="0.3">
      <c r="A98" t="s">
        <v>420</v>
      </c>
      <c r="B98" t="s">
        <v>529</v>
      </c>
      <c r="C98" s="4">
        <v>50.1052555793894</v>
      </c>
      <c r="D98">
        <v>446</v>
      </c>
    </row>
    <row r="99" spans="1:4" x14ac:dyDescent="0.3">
      <c r="A99" t="s">
        <v>491</v>
      </c>
      <c r="B99" t="s">
        <v>529</v>
      </c>
      <c r="C99" s="4">
        <v>39.1252950567835</v>
      </c>
      <c r="D99">
        <v>53</v>
      </c>
    </row>
    <row r="100" spans="1:4" x14ac:dyDescent="0.3">
      <c r="A100" t="s">
        <v>505</v>
      </c>
      <c r="B100" t="s">
        <v>531</v>
      </c>
      <c r="C100" s="4">
        <v>62.736846697140599</v>
      </c>
      <c r="D100">
        <v>13378</v>
      </c>
    </row>
    <row r="101" spans="1:4" x14ac:dyDescent="0.3">
      <c r="A101" t="s">
        <v>505</v>
      </c>
      <c r="B101" t="s">
        <v>532</v>
      </c>
      <c r="C101" s="4">
        <v>65.092210365558898</v>
      </c>
      <c r="D101">
        <v>22815</v>
      </c>
    </row>
    <row r="102" spans="1:4" x14ac:dyDescent="0.3">
      <c r="A102" t="s">
        <v>6</v>
      </c>
      <c r="B102" t="s">
        <v>532</v>
      </c>
      <c r="C102" s="4">
        <v>69.613924753165406</v>
      </c>
      <c r="D102">
        <v>739</v>
      </c>
    </row>
    <row r="103" spans="1:4" x14ac:dyDescent="0.3">
      <c r="A103" t="s">
        <v>52</v>
      </c>
      <c r="B103" t="s">
        <v>532</v>
      </c>
      <c r="C103" s="4">
        <v>79.164705551931604</v>
      </c>
      <c r="D103">
        <v>150</v>
      </c>
    </row>
    <row r="104" spans="1:4" x14ac:dyDescent="0.3">
      <c r="A104" t="s">
        <v>96</v>
      </c>
      <c r="B104" t="s">
        <v>532</v>
      </c>
      <c r="C104" s="4">
        <v>68.985699389225204</v>
      </c>
      <c r="D104">
        <v>351</v>
      </c>
    </row>
    <row r="105" spans="1:4" x14ac:dyDescent="0.3">
      <c r="A105" t="s">
        <v>143</v>
      </c>
      <c r="B105" t="s">
        <v>532</v>
      </c>
      <c r="C105" s="4">
        <v>69.329477258665406</v>
      </c>
      <c r="D105">
        <v>88</v>
      </c>
    </row>
    <row r="106" spans="1:4" x14ac:dyDescent="0.3">
      <c r="A106" t="s">
        <v>163</v>
      </c>
      <c r="B106" t="s">
        <v>532</v>
      </c>
      <c r="C106" s="4">
        <v>56.405542703648798</v>
      </c>
      <c r="D106">
        <v>228</v>
      </c>
    </row>
    <row r="107" spans="1:4" x14ac:dyDescent="0.3">
      <c r="A107" t="s">
        <v>191</v>
      </c>
      <c r="B107" t="s">
        <v>532</v>
      </c>
      <c r="C107" s="4">
        <v>63.6609159465944</v>
      </c>
      <c r="D107">
        <v>3365</v>
      </c>
    </row>
    <row r="108" spans="1:4" x14ac:dyDescent="0.3">
      <c r="A108" t="s">
        <v>253</v>
      </c>
      <c r="B108" t="s">
        <v>532</v>
      </c>
      <c r="C108" s="4">
        <v>64.824228635389204</v>
      </c>
      <c r="D108">
        <v>290</v>
      </c>
    </row>
    <row r="109" spans="1:4" x14ac:dyDescent="0.3">
      <c r="A109" t="s">
        <v>333</v>
      </c>
      <c r="B109" t="s">
        <v>532</v>
      </c>
      <c r="C109" s="4">
        <v>74.5752238884495</v>
      </c>
      <c r="D109">
        <v>104</v>
      </c>
    </row>
    <row r="110" spans="1:4" x14ac:dyDescent="0.3">
      <c r="A110" t="s">
        <v>371</v>
      </c>
      <c r="B110" t="s">
        <v>532</v>
      </c>
      <c r="C110" s="4">
        <v>69.185630328958197</v>
      </c>
      <c r="D110">
        <v>40</v>
      </c>
    </row>
    <row r="111" spans="1:4" x14ac:dyDescent="0.3">
      <c r="A111" t="s">
        <v>402</v>
      </c>
      <c r="B111" t="s">
        <v>532</v>
      </c>
      <c r="C111" s="4">
        <v>57.006471496012701</v>
      </c>
      <c r="D111">
        <v>65</v>
      </c>
    </row>
    <row r="112" spans="1:4" x14ac:dyDescent="0.3">
      <c r="A112" t="s">
        <v>420</v>
      </c>
      <c r="B112" t="s">
        <v>532</v>
      </c>
      <c r="C112" s="4">
        <v>62.959805682643903</v>
      </c>
      <c r="D112">
        <v>1137</v>
      </c>
    </row>
    <row r="113" spans="1:4" x14ac:dyDescent="0.3">
      <c r="A113" t="s">
        <v>491</v>
      </c>
      <c r="B113" t="s">
        <v>532</v>
      </c>
      <c r="C113" s="4">
        <v>67.195871385083706</v>
      </c>
      <c r="D113">
        <v>24</v>
      </c>
    </row>
    <row r="114" spans="1:4" x14ac:dyDescent="0.3">
      <c r="A114" t="s">
        <v>505</v>
      </c>
      <c r="B114" t="s">
        <v>533</v>
      </c>
      <c r="C114" s="4">
        <v>50.3155339173992</v>
      </c>
      <c r="D114">
        <v>10623</v>
      </c>
    </row>
    <row r="115" spans="1:4" x14ac:dyDescent="0.3">
      <c r="A115" t="s">
        <v>6</v>
      </c>
      <c r="B115" t="s">
        <v>533</v>
      </c>
      <c r="C115" s="4">
        <v>45.396404940776002</v>
      </c>
      <c r="D115">
        <v>293</v>
      </c>
    </row>
    <row r="116" spans="1:4" x14ac:dyDescent="0.3">
      <c r="A116" t="s">
        <v>52</v>
      </c>
      <c r="B116" t="s">
        <v>533</v>
      </c>
      <c r="C116" s="4">
        <v>54.693854108682103</v>
      </c>
      <c r="D116">
        <v>85</v>
      </c>
    </row>
    <row r="117" spans="1:4" x14ac:dyDescent="0.3">
      <c r="A117" t="s">
        <v>96</v>
      </c>
      <c r="B117" t="s">
        <v>533</v>
      </c>
      <c r="C117" s="4">
        <v>49.241048177148102</v>
      </c>
      <c r="D117">
        <v>133</v>
      </c>
    </row>
    <row r="118" spans="1:4" x14ac:dyDescent="0.3">
      <c r="A118" t="s">
        <v>143</v>
      </c>
      <c r="B118" t="s">
        <v>533</v>
      </c>
      <c r="C118" s="4">
        <v>48.350288591756502</v>
      </c>
      <c r="D118">
        <v>64</v>
      </c>
    </row>
    <row r="119" spans="1:4" x14ac:dyDescent="0.3">
      <c r="A119" t="s">
        <v>163</v>
      </c>
      <c r="B119" t="s">
        <v>533</v>
      </c>
      <c r="C119" s="4">
        <v>51.731895651234503</v>
      </c>
      <c r="D119">
        <v>105</v>
      </c>
    </row>
    <row r="120" spans="1:4" x14ac:dyDescent="0.3">
      <c r="A120" t="s">
        <v>191</v>
      </c>
      <c r="B120" t="s">
        <v>533</v>
      </c>
      <c r="C120" s="4">
        <v>50.985012106276301</v>
      </c>
      <c r="D120">
        <v>1523</v>
      </c>
    </row>
    <row r="121" spans="1:4" x14ac:dyDescent="0.3">
      <c r="A121" t="s">
        <v>253</v>
      </c>
      <c r="B121" t="s">
        <v>533</v>
      </c>
      <c r="C121" s="4">
        <v>45.708521393594602</v>
      </c>
      <c r="D121">
        <v>127</v>
      </c>
    </row>
    <row r="122" spans="1:4" x14ac:dyDescent="0.3">
      <c r="A122" t="s">
        <v>333</v>
      </c>
      <c r="B122" t="s">
        <v>533</v>
      </c>
      <c r="C122" s="4">
        <v>39.482199972128001</v>
      </c>
      <c r="D122">
        <v>51</v>
      </c>
    </row>
    <row r="123" spans="1:4" x14ac:dyDescent="0.3">
      <c r="A123" t="s">
        <v>371</v>
      </c>
      <c r="B123" t="s">
        <v>533</v>
      </c>
      <c r="C123" s="4">
        <v>49.622762230433402</v>
      </c>
      <c r="D123">
        <v>172</v>
      </c>
    </row>
    <row r="124" spans="1:4" x14ac:dyDescent="0.3">
      <c r="A124" t="s">
        <v>402</v>
      </c>
      <c r="B124" t="s">
        <v>533</v>
      </c>
      <c r="C124" s="4">
        <v>51.4226483777068</v>
      </c>
      <c r="D124">
        <v>47</v>
      </c>
    </row>
    <row r="125" spans="1:4" x14ac:dyDescent="0.3">
      <c r="A125" t="s">
        <v>420</v>
      </c>
      <c r="B125" t="s">
        <v>533</v>
      </c>
      <c r="C125" s="4">
        <v>53.088177215239199</v>
      </c>
      <c r="D125">
        <v>289</v>
      </c>
    </row>
    <row r="126" spans="1:4" x14ac:dyDescent="0.3">
      <c r="A126" t="s">
        <v>491</v>
      </c>
      <c r="B126" t="s">
        <v>533</v>
      </c>
      <c r="C126" s="4">
        <v>53.4277275613317</v>
      </c>
      <c r="D126">
        <v>28</v>
      </c>
    </row>
    <row r="127" spans="1:4" x14ac:dyDescent="0.3">
      <c r="A127" t="s">
        <v>505</v>
      </c>
      <c r="B127" t="s">
        <v>534</v>
      </c>
      <c r="C127" s="4">
        <v>44.956695934961999</v>
      </c>
      <c r="D127">
        <v>112905</v>
      </c>
    </row>
    <row r="128" spans="1:4" x14ac:dyDescent="0.3">
      <c r="A128" t="s">
        <v>6</v>
      </c>
      <c r="B128" t="s">
        <v>534</v>
      </c>
      <c r="C128" s="4">
        <v>46.943455913511002</v>
      </c>
      <c r="D128">
        <v>1066</v>
      </c>
    </row>
    <row r="129" spans="1:4" x14ac:dyDescent="0.3">
      <c r="A129" t="s">
        <v>52</v>
      </c>
      <c r="B129" t="s">
        <v>534</v>
      </c>
      <c r="C129" s="4">
        <v>51.437575148050101</v>
      </c>
      <c r="D129">
        <v>271</v>
      </c>
    </row>
    <row r="130" spans="1:4" x14ac:dyDescent="0.3">
      <c r="A130" t="s">
        <v>96</v>
      </c>
      <c r="B130" t="s">
        <v>534</v>
      </c>
      <c r="C130" s="4">
        <v>40.901873821008699</v>
      </c>
      <c r="D130">
        <v>553</v>
      </c>
    </row>
    <row r="131" spans="1:4" x14ac:dyDescent="0.3">
      <c r="A131" t="s">
        <v>143</v>
      </c>
      <c r="B131" t="s">
        <v>534</v>
      </c>
      <c r="C131" s="4">
        <v>38.463718117236098</v>
      </c>
      <c r="D131">
        <v>156</v>
      </c>
    </row>
    <row r="132" spans="1:4" x14ac:dyDescent="0.3">
      <c r="A132" t="s">
        <v>163</v>
      </c>
      <c r="B132" t="s">
        <v>534</v>
      </c>
      <c r="C132" s="4">
        <v>52.095844174479403</v>
      </c>
      <c r="D132">
        <v>340</v>
      </c>
    </row>
    <row r="133" spans="1:4" x14ac:dyDescent="0.3">
      <c r="A133" t="s">
        <v>191</v>
      </c>
      <c r="B133" t="s">
        <v>534</v>
      </c>
      <c r="C133" s="4">
        <v>43.678887486846101</v>
      </c>
      <c r="D133">
        <v>5445</v>
      </c>
    </row>
    <row r="134" spans="1:4" x14ac:dyDescent="0.3">
      <c r="A134" t="s">
        <v>253</v>
      </c>
      <c r="B134" t="s">
        <v>534</v>
      </c>
      <c r="C134" s="4">
        <v>44.768540984547897</v>
      </c>
      <c r="D134">
        <v>485</v>
      </c>
    </row>
    <row r="135" spans="1:4" x14ac:dyDescent="0.3">
      <c r="A135" t="s">
        <v>333</v>
      </c>
      <c r="B135" t="s">
        <v>534</v>
      </c>
      <c r="C135" s="4">
        <v>44.797959464613001</v>
      </c>
      <c r="D135">
        <v>176</v>
      </c>
    </row>
    <row r="136" spans="1:4" x14ac:dyDescent="0.3">
      <c r="A136" t="s">
        <v>371</v>
      </c>
      <c r="B136" t="s">
        <v>534</v>
      </c>
      <c r="C136" s="4">
        <v>55.559813900528603</v>
      </c>
      <c r="D136">
        <v>236</v>
      </c>
    </row>
    <row r="137" spans="1:4" x14ac:dyDescent="0.3">
      <c r="A137" t="s">
        <v>402</v>
      </c>
      <c r="B137" t="s">
        <v>534</v>
      </c>
      <c r="C137" s="4">
        <v>48.122130899420803</v>
      </c>
      <c r="D137">
        <v>112</v>
      </c>
    </row>
    <row r="138" spans="1:4" x14ac:dyDescent="0.3">
      <c r="A138" t="s">
        <v>420</v>
      </c>
      <c r="B138" t="s">
        <v>534</v>
      </c>
      <c r="C138" s="4">
        <v>43.1003679458912</v>
      </c>
      <c r="D138">
        <v>1486</v>
      </c>
    </row>
    <row r="139" spans="1:4" x14ac:dyDescent="0.3">
      <c r="A139" t="s">
        <v>491</v>
      </c>
      <c r="B139" t="s">
        <v>534</v>
      </c>
      <c r="C139" s="4">
        <v>55.625432064830299</v>
      </c>
      <c r="D139">
        <v>59</v>
      </c>
    </row>
    <row r="140" spans="1:4" x14ac:dyDescent="0.3">
      <c r="A140" t="s">
        <v>505</v>
      </c>
      <c r="B140" t="s">
        <v>535</v>
      </c>
      <c r="C140" s="4">
        <v>54.946662756617499</v>
      </c>
      <c r="D140">
        <v>113463</v>
      </c>
    </row>
    <row r="141" spans="1:4" x14ac:dyDescent="0.3">
      <c r="A141" t="s">
        <v>6</v>
      </c>
      <c r="B141" t="s">
        <v>535</v>
      </c>
      <c r="C141" s="4">
        <v>55.246125221465398</v>
      </c>
      <c r="D141">
        <v>1074</v>
      </c>
    </row>
    <row r="142" spans="1:4" x14ac:dyDescent="0.3">
      <c r="A142" t="s">
        <v>52</v>
      </c>
      <c r="B142" t="s">
        <v>535</v>
      </c>
      <c r="C142" s="4">
        <v>65.188198007966406</v>
      </c>
      <c r="D142">
        <v>268</v>
      </c>
    </row>
    <row r="143" spans="1:4" x14ac:dyDescent="0.3">
      <c r="A143" t="s">
        <v>96</v>
      </c>
      <c r="B143" t="s">
        <v>535</v>
      </c>
      <c r="C143" s="4">
        <v>50.191012036541601</v>
      </c>
      <c r="D143">
        <v>555</v>
      </c>
    </row>
    <row r="144" spans="1:4" x14ac:dyDescent="0.3">
      <c r="A144" t="s">
        <v>143</v>
      </c>
      <c r="B144" t="s">
        <v>535</v>
      </c>
      <c r="C144" s="4">
        <v>49.149086397040001</v>
      </c>
      <c r="D144">
        <v>157</v>
      </c>
    </row>
    <row r="145" spans="1:4" x14ac:dyDescent="0.3">
      <c r="A145" t="s">
        <v>163</v>
      </c>
      <c r="B145" t="s">
        <v>535</v>
      </c>
      <c r="C145" s="4">
        <v>57.304594707692303</v>
      </c>
      <c r="D145">
        <v>344</v>
      </c>
    </row>
    <row r="146" spans="1:4" x14ac:dyDescent="0.3">
      <c r="A146" t="s">
        <v>191</v>
      </c>
      <c r="B146" t="s">
        <v>535</v>
      </c>
      <c r="C146" s="4">
        <v>54.641579877167104</v>
      </c>
      <c r="D146">
        <v>5468</v>
      </c>
    </row>
    <row r="147" spans="1:4" x14ac:dyDescent="0.3">
      <c r="A147" t="s">
        <v>253</v>
      </c>
      <c r="B147" t="s">
        <v>535</v>
      </c>
      <c r="C147" s="4">
        <v>52.559995728543903</v>
      </c>
      <c r="D147">
        <v>487</v>
      </c>
    </row>
    <row r="148" spans="1:4" x14ac:dyDescent="0.3">
      <c r="A148" t="s">
        <v>333</v>
      </c>
      <c r="B148" t="s">
        <v>535</v>
      </c>
      <c r="C148" s="4">
        <v>56.244790507030999</v>
      </c>
      <c r="D148">
        <v>176</v>
      </c>
    </row>
    <row r="149" spans="1:4" x14ac:dyDescent="0.3">
      <c r="A149" t="s">
        <v>371</v>
      </c>
      <c r="B149" t="s">
        <v>535</v>
      </c>
      <c r="C149" s="4">
        <v>56.870412978426899</v>
      </c>
      <c r="D149">
        <v>238</v>
      </c>
    </row>
    <row r="150" spans="1:4" x14ac:dyDescent="0.3">
      <c r="A150" t="s">
        <v>402</v>
      </c>
      <c r="B150" t="s">
        <v>535</v>
      </c>
      <c r="C150" s="4">
        <v>54.543950468841601</v>
      </c>
      <c r="D150">
        <v>112</v>
      </c>
    </row>
    <row r="151" spans="1:4" x14ac:dyDescent="0.3">
      <c r="A151" t="s">
        <v>420</v>
      </c>
      <c r="B151" t="s">
        <v>535</v>
      </c>
      <c r="C151" s="4">
        <v>49.698293084649599</v>
      </c>
      <c r="D151">
        <v>1488</v>
      </c>
    </row>
    <row r="152" spans="1:4" x14ac:dyDescent="0.3">
      <c r="A152" t="s">
        <v>491</v>
      </c>
      <c r="B152" t="s">
        <v>535</v>
      </c>
      <c r="C152" s="4">
        <v>72.2022490289486</v>
      </c>
      <c r="D152">
        <v>59</v>
      </c>
    </row>
    <row r="153" spans="1:4" x14ac:dyDescent="0.3">
      <c r="A153" t="s">
        <v>505</v>
      </c>
      <c r="B153" t="s">
        <v>530</v>
      </c>
      <c r="C153" s="4">
        <v>53.933019078220802</v>
      </c>
      <c r="D153">
        <v>333</v>
      </c>
    </row>
    <row r="154" spans="1:4" x14ac:dyDescent="0.3">
      <c r="A154" t="s">
        <v>505</v>
      </c>
      <c r="B154" t="s">
        <v>536</v>
      </c>
      <c r="C154" s="4">
        <v>79.469977064439007</v>
      </c>
      <c r="D154">
        <v>10902</v>
      </c>
    </row>
    <row r="155" spans="1:4" x14ac:dyDescent="0.3">
      <c r="A155" t="s">
        <v>6</v>
      </c>
      <c r="B155" t="s">
        <v>536</v>
      </c>
      <c r="C155" s="4">
        <v>78.572536587415797</v>
      </c>
      <c r="D155">
        <v>296</v>
      </c>
    </row>
    <row r="156" spans="1:4" x14ac:dyDescent="0.3">
      <c r="A156" t="s">
        <v>52</v>
      </c>
      <c r="B156" t="s">
        <v>536</v>
      </c>
      <c r="C156" s="4">
        <v>76.368802247026196</v>
      </c>
      <c r="D156">
        <v>84</v>
      </c>
    </row>
    <row r="157" spans="1:4" x14ac:dyDescent="0.3">
      <c r="A157" t="s">
        <v>96</v>
      </c>
      <c r="B157" t="s">
        <v>536</v>
      </c>
      <c r="C157" s="4">
        <v>80.654467056390601</v>
      </c>
      <c r="D157">
        <v>132</v>
      </c>
    </row>
    <row r="158" spans="1:4" x14ac:dyDescent="0.3">
      <c r="A158" t="s">
        <v>143</v>
      </c>
      <c r="B158" t="s">
        <v>536</v>
      </c>
      <c r="C158" s="4">
        <v>83.678824463860593</v>
      </c>
      <c r="D158">
        <v>64</v>
      </c>
    </row>
    <row r="159" spans="1:4" x14ac:dyDescent="0.3">
      <c r="A159" t="s">
        <v>163</v>
      </c>
      <c r="B159" t="s">
        <v>536</v>
      </c>
      <c r="C159" s="4">
        <v>78.012845287857104</v>
      </c>
      <c r="D159">
        <v>105</v>
      </c>
    </row>
    <row r="160" spans="1:4" x14ac:dyDescent="0.3">
      <c r="A160" t="s">
        <v>191</v>
      </c>
      <c r="B160" t="s">
        <v>536</v>
      </c>
      <c r="C160" s="4">
        <v>78.637959870888693</v>
      </c>
      <c r="D160">
        <v>1584</v>
      </c>
    </row>
    <row r="161" spans="1:4" x14ac:dyDescent="0.3">
      <c r="A161" t="s">
        <v>253</v>
      </c>
      <c r="B161" t="s">
        <v>536</v>
      </c>
      <c r="C161" s="4">
        <v>86.268103073859095</v>
      </c>
      <c r="D161">
        <v>125</v>
      </c>
    </row>
    <row r="162" spans="1:4" x14ac:dyDescent="0.3">
      <c r="A162" t="s">
        <v>333</v>
      </c>
      <c r="B162" t="s">
        <v>536</v>
      </c>
      <c r="C162" s="4">
        <v>87.418371681557602</v>
      </c>
      <c r="D162">
        <v>54</v>
      </c>
    </row>
    <row r="163" spans="1:4" x14ac:dyDescent="0.3">
      <c r="A163" t="s">
        <v>371</v>
      </c>
      <c r="B163" t="s">
        <v>536</v>
      </c>
      <c r="C163" s="4">
        <v>87.685120282945505</v>
      </c>
      <c r="D163">
        <v>181</v>
      </c>
    </row>
    <row r="164" spans="1:4" x14ac:dyDescent="0.3">
      <c r="A164" t="s">
        <v>402</v>
      </c>
      <c r="B164" t="s">
        <v>536</v>
      </c>
      <c r="C164" s="4">
        <v>79.530469753445004</v>
      </c>
      <c r="D164">
        <v>46</v>
      </c>
    </row>
    <row r="165" spans="1:4" x14ac:dyDescent="0.3">
      <c r="A165" t="s">
        <v>420</v>
      </c>
      <c r="B165" t="s">
        <v>536</v>
      </c>
      <c r="C165" s="4">
        <v>82.454129926923997</v>
      </c>
      <c r="D165">
        <v>290</v>
      </c>
    </row>
    <row r="166" spans="1:4" x14ac:dyDescent="0.3">
      <c r="A166" t="s">
        <v>491</v>
      </c>
      <c r="B166" t="s">
        <v>536</v>
      </c>
      <c r="C166" s="4">
        <v>80.527480916363103</v>
      </c>
      <c r="D166">
        <v>27</v>
      </c>
    </row>
    <row r="167" spans="1:4" x14ac:dyDescent="0.3">
      <c r="A167" t="s">
        <v>505</v>
      </c>
      <c r="B167" t="s">
        <v>537</v>
      </c>
      <c r="C167" s="4">
        <v>64.907446013677202</v>
      </c>
      <c r="D167">
        <v>35468</v>
      </c>
    </row>
    <row r="168" spans="1:4" x14ac:dyDescent="0.3">
      <c r="A168" t="s">
        <v>6</v>
      </c>
      <c r="B168" t="s">
        <v>537</v>
      </c>
      <c r="C168" s="4">
        <v>69.1612064638703</v>
      </c>
      <c r="D168">
        <v>867</v>
      </c>
    </row>
    <row r="169" spans="1:4" x14ac:dyDescent="0.3">
      <c r="A169" t="s">
        <v>52</v>
      </c>
      <c r="B169" t="s">
        <v>537</v>
      </c>
      <c r="C169" s="4">
        <v>69.913780496033397</v>
      </c>
      <c r="D169">
        <v>165</v>
      </c>
    </row>
    <row r="170" spans="1:4" x14ac:dyDescent="0.3">
      <c r="A170" t="s">
        <v>96</v>
      </c>
      <c r="B170" t="s">
        <v>537</v>
      </c>
      <c r="C170" s="4">
        <v>71.259451314633495</v>
      </c>
      <c r="D170">
        <v>424</v>
      </c>
    </row>
    <row r="171" spans="1:4" x14ac:dyDescent="0.3">
      <c r="A171" t="s">
        <v>143</v>
      </c>
      <c r="B171" t="s">
        <v>537</v>
      </c>
      <c r="C171" s="4">
        <v>69.8794925707234</v>
      </c>
      <c r="D171">
        <v>92</v>
      </c>
    </row>
    <row r="172" spans="1:4" x14ac:dyDescent="0.3">
      <c r="A172" t="s">
        <v>163</v>
      </c>
      <c r="B172" t="s">
        <v>537</v>
      </c>
      <c r="C172" s="4">
        <v>57.828688718751799</v>
      </c>
      <c r="D172">
        <v>243</v>
      </c>
    </row>
    <row r="173" spans="1:4" x14ac:dyDescent="0.3">
      <c r="A173" t="s">
        <v>191</v>
      </c>
      <c r="B173" t="s">
        <v>537</v>
      </c>
      <c r="C173" s="4">
        <v>64.367633164262301</v>
      </c>
      <c r="D173">
        <v>3944</v>
      </c>
    </row>
    <row r="174" spans="1:4" x14ac:dyDescent="0.3">
      <c r="A174" t="s">
        <v>253</v>
      </c>
      <c r="B174" t="s">
        <v>537</v>
      </c>
      <c r="C174" s="4">
        <v>64.614934175024999</v>
      </c>
      <c r="D174">
        <v>372</v>
      </c>
    </row>
    <row r="175" spans="1:4" x14ac:dyDescent="0.3">
      <c r="A175" t="s">
        <v>333</v>
      </c>
      <c r="B175" t="s">
        <v>537</v>
      </c>
      <c r="C175" s="4">
        <v>70.011570596232602</v>
      </c>
      <c r="D175">
        <v>122</v>
      </c>
    </row>
    <row r="176" spans="1:4" x14ac:dyDescent="0.3">
      <c r="A176" t="s">
        <v>371</v>
      </c>
      <c r="B176" t="s">
        <v>537</v>
      </c>
      <c r="C176" s="4">
        <v>69.405836775045401</v>
      </c>
      <c r="D176">
        <v>45</v>
      </c>
    </row>
    <row r="177" spans="1:4" x14ac:dyDescent="0.3">
      <c r="A177" t="s">
        <v>402</v>
      </c>
      <c r="B177" t="s">
        <v>537</v>
      </c>
      <c r="C177" s="4">
        <v>57.411509270515502</v>
      </c>
      <c r="D177">
        <v>75</v>
      </c>
    </row>
    <row r="178" spans="1:4" x14ac:dyDescent="0.3">
      <c r="A178" t="s">
        <v>420</v>
      </c>
      <c r="B178" t="s">
        <v>537</v>
      </c>
      <c r="C178" s="4">
        <v>61.177828407118199</v>
      </c>
      <c r="D178">
        <v>1301</v>
      </c>
    </row>
    <row r="179" spans="1:4" x14ac:dyDescent="0.3">
      <c r="A179" t="s">
        <v>491</v>
      </c>
      <c r="B179" t="s">
        <v>537</v>
      </c>
      <c r="C179" s="4">
        <v>53.021613534499103</v>
      </c>
      <c r="D179">
        <v>35</v>
      </c>
    </row>
  </sheetData>
  <sortState xmlns:xlrd2="http://schemas.microsoft.com/office/spreadsheetml/2017/richdata2" ref="A2:D179">
    <sortCondition ref="B2:B179"/>
  </sortState>
  <conditionalFormatting pivot="1" sqref="I5:I1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I3"/>
  <sheetViews>
    <sheetView workbookViewId="0">
      <selection activeCell="G3" sqref="G3:I3"/>
    </sheetView>
  </sheetViews>
  <sheetFormatPr defaultRowHeight="14.4" x14ac:dyDescent="0.3"/>
  <cols>
    <col min="1" max="1" width="9.6640625" bestFit="1" customWidth="1"/>
    <col min="2" max="2" width="17.44140625" bestFit="1" customWidth="1"/>
  </cols>
  <sheetData>
    <row r="1" spans="1:9" x14ac:dyDescent="0.3">
      <c r="A1" t="s">
        <v>512</v>
      </c>
      <c r="B1" t="s">
        <v>506</v>
      </c>
      <c r="C1" t="s">
        <v>507</v>
      </c>
      <c r="D1" t="s">
        <v>508</v>
      </c>
      <c r="E1" t="s">
        <v>509</v>
      </c>
      <c r="F1" t="s">
        <v>515</v>
      </c>
      <c r="G1" t="str">
        <f>C1&amp;"%"</f>
        <v>Zdravo%</v>
      </c>
      <c r="H1" t="str">
        <f t="shared" ref="H1:I1" si="0">D1&amp;"%"</f>
        <v>Mejno%</v>
      </c>
      <c r="I1" t="str">
        <f t="shared" si="0"/>
        <v>Tvegano%</v>
      </c>
    </row>
    <row r="2" spans="1:9" x14ac:dyDescent="0.3">
      <c r="A2" t="s">
        <v>505</v>
      </c>
      <c r="B2" t="s">
        <v>510</v>
      </c>
      <c r="C2">
        <v>6666</v>
      </c>
      <c r="D2">
        <v>3333</v>
      </c>
      <c r="E2">
        <v>1111</v>
      </c>
      <c r="F2">
        <f>SUM(C2:E2)</f>
        <v>11110</v>
      </c>
      <c r="G2" s="3">
        <f>C2/$F2</f>
        <v>0.6</v>
      </c>
      <c r="H2" s="3">
        <f t="shared" ref="H2:I2" si="1">D2/$F2</f>
        <v>0.3</v>
      </c>
      <c r="I2" s="3">
        <f t="shared" si="1"/>
        <v>0.1</v>
      </c>
    </row>
    <row r="3" spans="1:9" x14ac:dyDescent="0.3">
      <c r="A3" t="s">
        <v>6</v>
      </c>
      <c r="B3" t="s">
        <v>510</v>
      </c>
      <c r="C3">
        <v>555</v>
      </c>
      <c r="D3">
        <v>222</v>
      </c>
      <c r="E3">
        <v>55</v>
      </c>
      <c r="F3">
        <f>SUM(C3:E3)</f>
        <v>832</v>
      </c>
      <c r="G3" s="3">
        <f>C3/$F3</f>
        <v>0.66706730769230771</v>
      </c>
      <c r="H3" s="3">
        <f t="shared" ref="H3" si="2">D3/$F3</f>
        <v>0.26682692307692307</v>
      </c>
      <c r="I3" s="3">
        <f t="shared" ref="I3" si="3">E3/$F3</f>
        <v>6.6105769230769232E-2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470" activePane="bottomLeft" state="frozen"/>
      <selection pane="bottomLeft" activeCell="F2" sqref="F2:F479"/>
    </sheetView>
  </sheetViews>
  <sheetFormatPr defaultRowHeight="14.4" x14ac:dyDescent="0.3"/>
  <cols>
    <col min="3" max="3" width="28.6640625" bestFit="1" customWidth="1"/>
    <col min="4" max="4" width="18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538</v>
      </c>
    </row>
    <row r="2" spans="1:6" x14ac:dyDescent="0.3">
      <c r="A2">
        <v>190</v>
      </c>
      <c r="B2">
        <v>1000</v>
      </c>
      <c r="C2" t="s">
        <v>211</v>
      </c>
      <c r="D2" t="s">
        <v>191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 x14ac:dyDescent="0.3">
      <c r="A3">
        <v>191</v>
      </c>
      <c r="B3">
        <v>1001</v>
      </c>
      <c r="C3" t="s">
        <v>212</v>
      </c>
      <c r="D3" t="s">
        <v>191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 x14ac:dyDescent="0.3">
      <c r="A4">
        <v>195</v>
      </c>
      <c r="B4">
        <v>1002</v>
      </c>
      <c r="C4" t="s">
        <v>216</v>
      </c>
      <c r="D4" t="s">
        <v>191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 x14ac:dyDescent="0.3">
      <c r="A5">
        <v>196</v>
      </c>
      <c r="B5">
        <v>1210</v>
      </c>
      <c r="C5" t="s">
        <v>217</v>
      </c>
      <c r="D5" t="s">
        <v>191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 x14ac:dyDescent="0.3">
      <c r="A6">
        <v>197</v>
      </c>
      <c r="B6">
        <v>1211</v>
      </c>
      <c r="C6" t="s">
        <v>218</v>
      </c>
      <c r="D6" t="s">
        <v>191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 x14ac:dyDescent="0.3">
      <c r="A7">
        <v>225</v>
      </c>
      <c r="B7">
        <v>1215</v>
      </c>
      <c r="C7" t="s">
        <v>222</v>
      </c>
      <c r="D7" t="s">
        <v>191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 x14ac:dyDescent="0.3">
      <c r="A8">
        <v>349</v>
      </c>
      <c r="B8">
        <v>1216</v>
      </c>
      <c r="C8" t="s">
        <v>235</v>
      </c>
      <c r="D8" t="s">
        <v>191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 x14ac:dyDescent="0.3">
      <c r="A9">
        <v>447</v>
      </c>
      <c r="B9">
        <v>1217</v>
      </c>
      <c r="C9" t="s">
        <v>249</v>
      </c>
      <c r="D9" t="s">
        <v>191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 x14ac:dyDescent="0.3">
      <c r="A10">
        <v>154</v>
      </c>
      <c r="B10">
        <v>1218</v>
      </c>
      <c r="C10" t="s">
        <v>206</v>
      </c>
      <c r="D10" t="s">
        <v>191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 x14ac:dyDescent="0.3">
      <c r="A11">
        <v>180</v>
      </c>
      <c r="B11">
        <v>1219</v>
      </c>
      <c r="C11" t="s">
        <v>209</v>
      </c>
      <c r="D11" t="s">
        <v>191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 x14ac:dyDescent="0.3">
      <c r="A12">
        <v>240</v>
      </c>
      <c r="B12">
        <v>1221</v>
      </c>
      <c r="C12" t="s">
        <v>225</v>
      </c>
      <c r="D12" t="s">
        <v>191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 x14ac:dyDescent="0.3">
      <c r="A13">
        <v>423</v>
      </c>
      <c r="B13">
        <v>1222</v>
      </c>
      <c r="C13" t="s">
        <v>242</v>
      </c>
      <c r="D13" t="s">
        <v>191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 x14ac:dyDescent="0.3">
      <c r="A14">
        <v>13</v>
      </c>
      <c r="B14">
        <v>1223</v>
      </c>
      <c r="C14" t="s">
        <v>190</v>
      </c>
      <c r="D14" t="s">
        <v>191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 x14ac:dyDescent="0.3">
      <c r="A15">
        <v>211</v>
      </c>
      <c r="B15">
        <v>1225</v>
      </c>
      <c r="C15" t="s">
        <v>221</v>
      </c>
      <c r="D15" t="s">
        <v>191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 x14ac:dyDescent="0.3">
      <c r="A16">
        <v>77</v>
      </c>
      <c r="B16">
        <v>1230</v>
      </c>
      <c r="C16" t="s">
        <v>198</v>
      </c>
      <c r="D16" t="s">
        <v>191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 x14ac:dyDescent="0.3">
      <c r="A17">
        <v>192</v>
      </c>
      <c r="B17">
        <v>1231</v>
      </c>
      <c r="C17" t="s">
        <v>213</v>
      </c>
      <c r="D17" t="s">
        <v>191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 x14ac:dyDescent="0.3">
      <c r="A18">
        <v>62</v>
      </c>
      <c r="B18">
        <v>1233</v>
      </c>
      <c r="C18" t="s">
        <v>194</v>
      </c>
      <c r="D18" t="s">
        <v>191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 x14ac:dyDescent="0.3">
      <c r="A19">
        <v>226</v>
      </c>
      <c r="B19">
        <v>1234</v>
      </c>
      <c r="C19" t="s">
        <v>223</v>
      </c>
      <c r="D19" t="s">
        <v>191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 x14ac:dyDescent="0.3">
      <c r="A20">
        <v>316</v>
      </c>
      <c r="B20">
        <v>1235</v>
      </c>
      <c r="C20" t="s">
        <v>231</v>
      </c>
      <c r="D20" t="s">
        <v>191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 x14ac:dyDescent="0.3">
      <c r="A21">
        <v>424</v>
      </c>
      <c r="B21">
        <v>1236</v>
      </c>
      <c r="C21" t="s">
        <v>243</v>
      </c>
      <c r="D21" t="s">
        <v>191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 x14ac:dyDescent="0.3">
      <c r="A22">
        <v>140</v>
      </c>
      <c r="B22">
        <v>1241</v>
      </c>
      <c r="C22" t="s">
        <v>205</v>
      </c>
      <c r="D22" t="s">
        <v>191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 x14ac:dyDescent="0.3">
      <c r="A23">
        <v>363</v>
      </c>
      <c r="B23">
        <v>1242</v>
      </c>
      <c r="C23" t="s">
        <v>236</v>
      </c>
      <c r="D23" t="s">
        <v>191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 x14ac:dyDescent="0.3">
      <c r="A24">
        <v>237</v>
      </c>
      <c r="B24">
        <v>1251</v>
      </c>
      <c r="C24" t="s">
        <v>224</v>
      </c>
      <c r="D24" t="s">
        <v>191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 x14ac:dyDescent="0.3">
      <c r="A25">
        <v>430</v>
      </c>
      <c r="B25">
        <v>1252</v>
      </c>
      <c r="C25" t="s">
        <v>245</v>
      </c>
      <c r="D25" t="s">
        <v>191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 x14ac:dyDescent="0.3">
      <c r="A26">
        <v>194</v>
      </c>
      <c r="B26">
        <v>1260</v>
      </c>
      <c r="C26" t="s">
        <v>215</v>
      </c>
      <c r="D26" t="s">
        <v>191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 x14ac:dyDescent="0.3">
      <c r="A27">
        <v>193</v>
      </c>
      <c r="B27">
        <v>1261</v>
      </c>
      <c r="C27" t="s">
        <v>214</v>
      </c>
      <c r="D27" t="s">
        <v>191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 x14ac:dyDescent="0.3">
      <c r="A28">
        <v>73</v>
      </c>
      <c r="B28">
        <v>1262</v>
      </c>
      <c r="C28" t="s">
        <v>196</v>
      </c>
      <c r="D28" t="s">
        <v>191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 x14ac:dyDescent="0.3">
      <c r="A29">
        <v>188</v>
      </c>
      <c r="B29">
        <v>1270</v>
      </c>
      <c r="C29" t="s">
        <v>210</v>
      </c>
      <c r="D29" s="1" t="s">
        <v>491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 x14ac:dyDescent="0.3">
      <c r="A30">
        <v>292</v>
      </c>
      <c r="B30">
        <v>1272</v>
      </c>
      <c r="C30" t="s">
        <v>228</v>
      </c>
      <c r="D30" t="s">
        <v>191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 x14ac:dyDescent="0.3">
      <c r="A31">
        <v>74</v>
      </c>
      <c r="B31">
        <v>1273</v>
      </c>
      <c r="C31" t="s">
        <v>197</v>
      </c>
      <c r="D31" t="s">
        <v>191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 x14ac:dyDescent="0.3">
      <c r="A32">
        <v>91</v>
      </c>
      <c r="B32">
        <v>1274</v>
      </c>
      <c r="C32" t="s">
        <v>199</v>
      </c>
      <c r="D32" t="s">
        <v>191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 x14ac:dyDescent="0.3">
      <c r="A33">
        <v>406</v>
      </c>
      <c r="B33">
        <v>1275</v>
      </c>
      <c r="C33" t="s">
        <v>241</v>
      </c>
      <c r="D33" t="s">
        <v>191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 x14ac:dyDescent="0.3">
      <c r="A34">
        <v>305</v>
      </c>
      <c r="B34">
        <v>1276</v>
      </c>
      <c r="C34" t="s">
        <v>230</v>
      </c>
      <c r="D34" t="s">
        <v>191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 x14ac:dyDescent="0.3">
      <c r="A35">
        <v>168</v>
      </c>
      <c r="B35">
        <v>1281</v>
      </c>
      <c r="C35" t="s">
        <v>207</v>
      </c>
      <c r="D35" t="s">
        <v>191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 x14ac:dyDescent="0.3">
      <c r="A36">
        <v>335</v>
      </c>
      <c r="B36">
        <v>1282</v>
      </c>
      <c r="C36" t="s">
        <v>234</v>
      </c>
      <c r="D36" t="s">
        <v>191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 x14ac:dyDescent="0.3">
      <c r="A37">
        <v>110</v>
      </c>
      <c r="B37">
        <v>1290</v>
      </c>
      <c r="C37" t="s">
        <v>200</v>
      </c>
      <c r="D37" t="s">
        <v>191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 x14ac:dyDescent="0.3">
      <c r="A38">
        <v>398</v>
      </c>
      <c r="B38">
        <v>1291</v>
      </c>
      <c r="C38" t="s">
        <v>239</v>
      </c>
      <c r="D38" t="s">
        <v>191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 x14ac:dyDescent="0.3">
      <c r="A39">
        <v>121</v>
      </c>
      <c r="B39">
        <v>1292</v>
      </c>
      <c r="C39" t="s">
        <v>203</v>
      </c>
      <c r="D39" t="s">
        <v>191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 x14ac:dyDescent="0.3">
      <c r="A40">
        <v>400</v>
      </c>
      <c r="B40">
        <v>1293</v>
      </c>
      <c r="C40" t="s">
        <v>240</v>
      </c>
      <c r="D40" t="s">
        <v>191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 x14ac:dyDescent="0.3">
      <c r="A41">
        <v>444</v>
      </c>
      <c r="B41">
        <v>1294</v>
      </c>
      <c r="C41" t="s">
        <v>248</v>
      </c>
      <c r="D41" t="s">
        <v>191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 x14ac:dyDescent="0.3">
      <c r="A42">
        <v>124</v>
      </c>
      <c r="B42">
        <v>1295</v>
      </c>
      <c r="C42" t="s">
        <v>204</v>
      </c>
      <c r="D42" t="s">
        <v>191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 x14ac:dyDescent="0.3">
      <c r="A43">
        <v>393</v>
      </c>
      <c r="B43">
        <v>1296</v>
      </c>
      <c r="C43" t="s">
        <v>238</v>
      </c>
      <c r="D43" t="s">
        <v>191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 x14ac:dyDescent="0.3">
      <c r="A44">
        <v>172</v>
      </c>
      <c r="B44">
        <v>1301</v>
      </c>
      <c r="C44" t="s">
        <v>208</v>
      </c>
      <c r="D44" t="s">
        <v>191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 x14ac:dyDescent="0.3">
      <c r="A45">
        <v>458</v>
      </c>
      <c r="B45">
        <v>1303</v>
      </c>
      <c r="C45" t="s">
        <v>251</v>
      </c>
      <c r="D45" t="s">
        <v>191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 x14ac:dyDescent="0.3">
      <c r="A46">
        <v>325</v>
      </c>
      <c r="B46">
        <v>1310</v>
      </c>
      <c r="C46" t="s">
        <v>123</v>
      </c>
      <c r="D46" t="s">
        <v>96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 x14ac:dyDescent="0.3">
      <c r="A47">
        <v>427</v>
      </c>
      <c r="B47">
        <v>1311</v>
      </c>
      <c r="C47" t="s">
        <v>244</v>
      </c>
      <c r="D47" t="s">
        <v>191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 x14ac:dyDescent="0.3">
      <c r="A48">
        <v>439</v>
      </c>
      <c r="B48">
        <v>1312</v>
      </c>
      <c r="C48" t="s">
        <v>247</v>
      </c>
      <c r="D48" t="s">
        <v>191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 x14ac:dyDescent="0.3">
      <c r="A49">
        <v>372</v>
      </c>
      <c r="B49">
        <v>1313</v>
      </c>
      <c r="C49" t="s">
        <v>237</v>
      </c>
      <c r="D49" t="s">
        <v>191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 x14ac:dyDescent="0.3">
      <c r="A50">
        <v>328</v>
      </c>
      <c r="B50">
        <v>1314</v>
      </c>
      <c r="C50" t="s">
        <v>232</v>
      </c>
      <c r="D50" t="s">
        <v>191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 x14ac:dyDescent="0.3">
      <c r="A51">
        <v>436</v>
      </c>
      <c r="B51">
        <v>1315</v>
      </c>
      <c r="C51" t="s">
        <v>246</v>
      </c>
      <c r="D51" t="s">
        <v>191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 x14ac:dyDescent="0.3">
      <c r="A52">
        <v>259</v>
      </c>
      <c r="B52">
        <v>1316</v>
      </c>
      <c r="C52" t="s">
        <v>119</v>
      </c>
      <c r="D52" t="s">
        <v>96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 x14ac:dyDescent="0.3">
      <c r="A53">
        <v>351</v>
      </c>
      <c r="B53">
        <v>1317</v>
      </c>
      <c r="C53" t="s">
        <v>125</v>
      </c>
      <c r="D53" t="s">
        <v>96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 x14ac:dyDescent="0.3">
      <c r="A54">
        <v>207</v>
      </c>
      <c r="B54">
        <v>1318</v>
      </c>
      <c r="C54" t="s">
        <v>112</v>
      </c>
      <c r="D54" t="s">
        <v>96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 x14ac:dyDescent="0.3">
      <c r="A55">
        <v>80</v>
      </c>
      <c r="B55">
        <v>1319</v>
      </c>
      <c r="C55" t="s">
        <v>103</v>
      </c>
      <c r="D55" t="s">
        <v>96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 x14ac:dyDescent="0.3">
      <c r="A56">
        <v>149</v>
      </c>
      <c r="B56">
        <v>1330</v>
      </c>
      <c r="C56" t="s">
        <v>108</v>
      </c>
      <c r="D56" t="s">
        <v>96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 x14ac:dyDescent="0.3">
      <c r="A57">
        <v>75</v>
      </c>
      <c r="B57">
        <v>1331</v>
      </c>
      <c r="C57" t="s">
        <v>101</v>
      </c>
      <c r="D57" t="s">
        <v>96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 x14ac:dyDescent="0.3">
      <c r="A58">
        <v>364</v>
      </c>
      <c r="B58">
        <v>1332</v>
      </c>
      <c r="C58" t="s">
        <v>126</v>
      </c>
      <c r="D58" t="s">
        <v>96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 x14ac:dyDescent="0.3">
      <c r="A59">
        <v>160</v>
      </c>
      <c r="B59">
        <v>1336</v>
      </c>
      <c r="C59" t="s">
        <v>111</v>
      </c>
      <c r="D59" t="s">
        <v>96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 x14ac:dyDescent="0.3">
      <c r="A60">
        <v>260</v>
      </c>
      <c r="B60">
        <v>1337</v>
      </c>
      <c r="C60" t="s">
        <v>120</v>
      </c>
      <c r="D60" t="s">
        <v>96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 x14ac:dyDescent="0.3">
      <c r="A61">
        <v>150</v>
      </c>
      <c r="B61">
        <v>1338</v>
      </c>
      <c r="C61" t="s">
        <v>109</v>
      </c>
      <c r="D61" t="s">
        <v>96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 x14ac:dyDescent="0.3">
      <c r="A62">
        <v>31</v>
      </c>
      <c r="B62">
        <v>1351</v>
      </c>
      <c r="C62" t="s">
        <v>193</v>
      </c>
      <c r="D62" t="s">
        <v>191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 x14ac:dyDescent="0.3">
      <c r="A63">
        <v>301</v>
      </c>
      <c r="B63">
        <v>1352</v>
      </c>
      <c r="C63" t="s">
        <v>229</v>
      </c>
      <c r="D63" t="s">
        <v>191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 x14ac:dyDescent="0.3">
      <c r="A64">
        <v>22</v>
      </c>
      <c r="B64">
        <v>1353</v>
      </c>
      <c r="C64" t="s">
        <v>192</v>
      </c>
      <c r="D64" t="s">
        <v>191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 x14ac:dyDescent="0.3">
      <c r="A65">
        <v>115</v>
      </c>
      <c r="B65">
        <v>1354</v>
      </c>
      <c r="C65" t="s">
        <v>201</v>
      </c>
      <c r="D65" t="s">
        <v>191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 x14ac:dyDescent="0.3">
      <c r="A66">
        <v>289</v>
      </c>
      <c r="B66">
        <v>1355</v>
      </c>
      <c r="C66" t="s">
        <v>227</v>
      </c>
      <c r="D66" t="s">
        <v>191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 x14ac:dyDescent="0.3">
      <c r="A67">
        <v>69</v>
      </c>
      <c r="B67">
        <v>1356</v>
      </c>
      <c r="C67" t="s">
        <v>195</v>
      </c>
      <c r="D67" t="s">
        <v>191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 x14ac:dyDescent="0.3">
      <c r="A68">
        <v>247</v>
      </c>
      <c r="B68">
        <v>1357</v>
      </c>
      <c r="C68" t="s">
        <v>226</v>
      </c>
      <c r="D68" t="s">
        <v>191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 x14ac:dyDescent="0.3">
      <c r="A69">
        <v>202</v>
      </c>
      <c r="B69">
        <v>1358</v>
      </c>
      <c r="C69" t="s">
        <v>219</v>
      </c>
      <c r="D69" t="s">
        <v>191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 x14ac:dyDescent="0.3">
      <c r="A70">
        <v>453</v>
      </c>
      <c r="B70">
        <v>1360</v>
      </c>
      <c r="C70" t="s">
        <v>250</v>
      </c>
      <c r="D70" t="s">
        <v>191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 x14ac:dyDescent="0.3">
      <c r="A71">
        <v>203</v>
      </c>
      <c r="B71">
        <v>1370</v>
      </c>
      <c r="C71" t="s">
        <v>220</v>
      </c>
      <c r="D71" t="s">
        <v>191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 x14ac:dyDescent="0.3">
      <c r="A72">
        <v>116</v>
      </c>
      <c r="B72">
        <v>1372</v>
      </c>
      <c r="C72" t="s">
        <v>202</v>
      </c>
      <c r="D72" t="s">
        <v>191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 x14ac:dyDescent="0.3">
      <c r="A73">
        <v>333</v>
      </c>
      <c r="B73">
        <v>1373</v>
      </c>
      <c r="C73" t="s">
        <v>233</v>
      </c>
      <c r="D73" t="s">
        <v>191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 x14ac:dyDescent="0.3">
      <c r="A74">
        <v>42</v>
      </c>
      <c r="B74">
        <v>1380</v>
      </c>
      <c r="C74" t="s">
        <v>403</v>
      </c>
      <c r="D74" t="s">
        <v>402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 x14ac:dyDescent="0.3">
      <c r="A75">
        <v>319</v>
      </c>
      <c r="B75">
        <v>1381</v>
      </c>
      <c r="C75" t="s">
        <v>417</v>
      </c>
      <c r="D75" t="s">
        <v>402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 x14ac:dyDescent="0.3">
      <c r="A76">
        <v>7</v>
      </c>
      <c r="B76">
        <v>1382</v>
      </c>
      <c r="C76" t="s">
        <v>401</v>
      </c>
      <c r="D76" t="s">
        <v>402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 x14ac:dyDescent="0.3">
      <c r="A77">
        <v>105</v>
      </c>
      <c r="B77">
        <v>1384</v>
      </c>
      <c r="C77" t="s">
        <v>404</v>
      </c>
      <c r="D77" t="s">
        <v>402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 x14ac:dyDescent="0.3">
      <c r="A78">
        <v>251</v>
      </c>
      <c r="B78">
        <v>1385</v>
      </c>
      <c r="C78" t="s">
        <v>411</v>
      </c>
      <c r="D78" t="s">
        <v>402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 x14ac:dyDescent="0.3">
      <c r="A79">
        <v>366</v>
      </c>
      <c r="B79">
        <v>1386</v>
      </c>
      <c r="C79" t="s">
        <v>418</v>
      </c>
      <c r="D79" t="s">
        <v>402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 x14ac:dyDescent="0.3">
      <c r="A80">
        <v>457</v>
      </c>
      <c r="B80">
        <v>1410</v>
      </c>
      <c r="C80" t="s">
        <v>499</v>
      </c>
      <c r="D80" t="s">
        <v>491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 x14ac:dyDescent="0.3">
      <c r="A81">
        <v>126</v>
      </c>
      <c r="B81">
        <v>1411</v>
      </c>
      <c r="C81" t="s">
        <v>495</v>
      </c>
      <c r="D81" t="s">
        <v>491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 x14ac:dyDescent="0.3">
      <c r="A82">
        <v>145</v>
      </c>
      <c r="B82">
        <v>1412</v>
      </c>
      <c r="C82" t="s">
        <v>496</v>
      </c>
      <c r="D82" t="s">
        <v>491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 x14ac:dyDescent="0.3">
      <c r="A83">
        <v>50</v>
      </c>
      <c r="B83">
        <v>1413</v>
      </c>
      <c r="C83" t="s">
        <v>490</v>
      </c>
      <c r="D83" t="s">
        <v>491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 x14ac:dyDescent="0.3">
      <c r="A84">
        <v>280</v>
      </c>
      <c r="B84">
        <v>1414</v>
      </c>
      <c r="C84" t="s">
        <v>497</v>
      </c>
      <c r="D84" t="s">
        <v>491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 x14ac:dyDescent="0.3">
      <c r="A85">
        <v>418</v>
      </c>
      <c r="B85">
        <v>1420</v>
      </c>
      <c r="C85" t="s">
        <v>498</v>
      </c>
      <c r="D85" t="s">
        <v>491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 x14ac:dyDescent="0.3">
      <c r="A86">
        <v>65</v>
      </c>
      <c r="B86">
        <v>1423</v>
      </c>
      <c r="C86" t="s">
        <v>492</v>
      </c>
      <c r="D86" t="s">
        <v>491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 x14ac:dyDescent="0.3">
      <c r="A87">
        <v>117</v>
      </c>
      <c r="B87">
        <v>1430</v>
      </c>
      <c r="C87" t="s">
        <v>494</v>
      </c>
      <c r="D87" t="s">
        <v>491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 x14ac:dyDescent="0.3">
      <c r="A88">
        <v>72</v>
      </c>
      <c r="B88">
        <v>1431</v>
      </c>
      <c r="C88" t="s">
        <v>493</v>
      </c>
      <c r="D88" t="s">
        <v>491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 x14ac:dyDescent="0.3">
      <c r="A89">
        <v>470</v>
      </c>
      <c r="B89">
        <v>1432</v>
      </c>
      <c r="C89" t="s">
        <v>400</v>
      </c>
      <c r="D89" t="s">
        <v>371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 x14ac:dyDescent="0.3">
      <c r="A90">
        <v>313</v>
      </c>
      <c r="B90">
        <v>1433</v>
      </c>
      <c r="C90" t="s">
        <v>390</v>
      </c>
      <c r="D90" t="s">
        <v>371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 x14ac:dyDescent="0.3">
      <c r="A91">
        <v>204</v>
      </c>
      <c r="B91">
        <v>1434</v>
      </c>
      <c r="C91" t="s">
        <v>388</v>
      </c>
      <c r="D91" t="s">
        <v>371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 x14ac:dyDescent="0.3">
      <c r="A92">
        <v>218</v>
      </c>
      <c r="B92">
        <v>2000</v>
      </c>
      <c r="C92" t="s">
        <v>284</v>
      </c>
      <c r="D92" t="s">
        <v>253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 x14ac:dyDescent="0.3">
      <c r="A93">
        <v>219</v>
      </c>
      <c r="B93">
        <v>2001</v>
      </c>
      <c r="C93" t="s">
        <v>285</v>
      </c>
      <c r="D93" t="s">
        <v>253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 x14ac:dyDescent="0.3">
      <c r="A94">
        <v>463</v>
      </c>
      <c r="B94">
        <v>2201</v>
      </c>
      <c r="C94" t="s">
        <v>326</v>
      </c>
      <c r="D94" t="s">
        <v>253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 x14ac:dyDescent="0.3">
      <c r="A95">
        <v>229</v>
      </c>
      <c r="B95">
        <v>2204</v>
      </c>
      <c r="C95" t="s">
        <v>288</v>
      </c>
      <c r="D95" t="s">
        <v>253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 x14ac:dyDescent="0.3">
      <c r="A96">
        <v>367</v>
      </c>
      <c r="B96">
        <v>2205</v>
      </c>
      <c r="C96" t="s">
        <v>311</v>
      </c>
      <c r="D96" t="s">
        <v>253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 x14ac:dyDescent="0.3">
      <c r="A97">
        <v>220</v>
      </c>
      <c r="B97">
        <v>2206</v>
      </c>
      <c r="C97" t="s">
        <v>286</v>
      </c>
      <c r="D97" t="s">
        <v>253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 x14ac:dyDescent="0.3">
      <c r="A98">
        <v>287</v>
      </c>
      <c r="B98">
        <v>2208</v>
      </c>
      <c r="C98" t="s">
        <v>298</v>
      </c>
      <c r="D98" t="s">
        <v>253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 x14ac:dyDescent="0.3">
      <c r="A99">
        <v>264</v>
      </c>
      <c r="B99">
        <v>2211</v>
      </c>
      <c r="C99" t="s">
        <v>295</v>
      </c>
      <c r="D99" t="s">
        <v>253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 x14ac:dyDescent="0.3">
      <c r="A100">
        <v>386</v>
      </c>
      <c r="B100">
        <v>2212</v>
      </c>
      <c r="C100" t="s">
        <v>317</v>
      </c>
      <c r="D100" t="s">
        <v>253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 x14ac:dyDescent="0.3">
      <c r="A101">
        <v>466</v>
      </c>
      <c r="B101">
        <v>2213</v>
      </c>
      <c r="C101" t="s">
        <v>329</v>
      </c>
      <c r="D101" t="s">
        <v>253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 x14ac:dyDescent="0.3">
      <c r="A102">
        <v>344</v>
      </c>
      <c r="B102">
        <v>2214</v>
      </c>
      <c r="C102" t="s">
        <v>307</v>
      </c>
      <c r="D102" t="s">
        <v>253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 x14ac:dyDescent="0.3">
      <c r="A103">
        <v>45</v>
      </c>
      <c r="B103">
        <v>2215</v>
      </c>
      <c r="C103" t="s">
        <v>257</v>
      </c>
      <c r="D103" t="s">
        <v>253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 x14ac:dyDescent="0.3">
      <c r="A104">
        <v>129</v>
      </c>
      <c r="B104">
        <v>2221</v>
      </c>
      <c r="C104" t="s">
        <v>269</v>
      </c>
      <c r="D104" t="s">
        <v>253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 x14ac:dyDescent="0.3">
      <c r="A105">
        <v>128</v>
      </c>
      <c r="B105">
        <v>2222</v>
      </c>
      <c r="C105" t="s">
        <v>268</v>
      </c>
      <c r="D105" t="s">
        <v>253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 x14ac:dyDescent="0.3">
      <c r="A106">
        <v>134</v>
      </c>
      <c r="B106">
        <v>2223</v>
      </c>
      <c r="C106" t="s">
        <v>270</v>
      </c>
      <c r="D106" t="s">
        <v>253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 x14ac:dyDescent="0.3">
      <c r="A107">
        <v>216</v>
      </c>
      <c r="B107">
        <v>2229</v>
      </c>
      <c r="C107" t="s">
        <v>283</v>
      </c>
      <c r="D107" t="s">
        <v>253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 x14ac:dyDescent="0.3">
      <c r="A108">
        <v>181</v>
      </c>
      <c r="B108">
        <v>2230</v>
      </c>
      <c r="C108" t="s">
        <v>277</v>
      </c>
      <c r="D108" t="s">
        <v>253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 x14ac:dyDescent="0.3">
      <c r="A109">
        <v>263</v>
      </c>
      <c r="B109">
        <v>2231</v>
      </c>
      <c r="C109" t="s">
        <v>294</v>
      </c>
      <c r="D109" t="s">
        <v>253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 x14ac:dyDescent="0.3">
      <c r="A110">
        <v>450</v>
      </c>
      <c r="B110">
        <v>2232</v>
      </c>
      <c r="C110" t="s">
        <v>323</v>
      </c>
      <c r="D110" t="s">
        <v>253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 x14ac:dyDescent="0.3">
      <c r="A111">
        <v>376</v>
      </c>
      <c r="B111">
        <v>2233</v>
      </c>
      <c r="C111" t="s">
        <v>314</v>
      </c>
      <c r="D111" t="s">
        <v>253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 x14ac:dyDescent="0.3">
      <c r="A112">
        <v>9</v>
      </c>
      <c r="B112">
        <v>2234</v>
      </c>
      <c r="C112" t="s">
        <v>252</v>
      </c>
      <c r="D112" t="s">
        <v>253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 x14ac:dyDescent="0.3">
      <c r="A113">
        <v>377</v>
      </c>
      <c r="B113">
        <v>2235</v>
      </c>
      <c r="C113" t="s">
        <v>315</v>
      </c>
      <c r="D113" t="s">
        <v>253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 x14ac:dyDescent="0.3">
      <c r="A114">
        <v>44</v>
      </c>
      <c r="B114">
        <v>2236</v>
      </c>
      <c r="C114" t="s">
        <v>256</v>
      </c>
      <c r="D114" t="s">
        <v>253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 x14ac:dyDescent="0.3">
      <c r="A115">
        <v>357</v>
      </c>
      <c r="B115">
        <v>2241</v>
      </c>
      <c r="C115" t="s">
        <v>309</v>
      </c>
      <c r="D115" t="s">
        <v>253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 x14ac:dyDescent="0.3">
      <c r="A116">
        <v>462</v>
      </c>
      <c r="B116">
        <v>2242</v>
      </c>
      <c r="C116" t="s">
        <v>325</v>
      </c>
      <c r="D116" t="s">
        <v>253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 x14ac:dyDescent="0.3">
      <c r="A117">
        <v>309</v>
      </c>
      <c r="B117">
        <v>2250</v>
      </c>
      <c r="C117" t="s">
        <v>302</v>
      </c>
      <c r="D117" t="s">
        <v>253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 x14ac:dyDescent="0.3">
      <c r="A118">
        <v>78</v>
      </c>
      <c r="B118">
        <v>2252</v>
      </c>
      <c r="C118" t="s">
        <v>261</v>
      </c>
      <c r="D118" t="s">
        <v>253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 x14ac:dyDescent="0.3">
      <c r="A119">
        <v>60</v>
      </c>
      <c r="B119">
        <v>2253</v>
      </c>
      <c r="C119" t="s">
        <v>260</v>
      </c>
      <c r="D119" t="s">
        <v>253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 x14ac:dyDescent="0.3">
      <c r="A120">
        <v>422</v>
      </c>
      <c r="B120">
        <v>2254</v>
      </c>
      <c r="C120" t="s">
        <v>319</v>
      </c>
      <c r="D120" t="s">
        <v>253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 x14ac:dyDescent="0.3">
      <c r="A121">
        <v>446</v>
      </c>
      <c r="B121">
        <v>2255</v>
      </c>
      <c r="C121" t="s">
        <v>322</v>
      </c>
      <c r="D121" t="s">
        <v>253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 x14ac:dyDescent="0.3">
      <c r="A122">
        <v>135</v>
      </c>
      <c r="B122">
        <v>2256</v>
      </c>
      <c r="C122" t="s">
        <v>271</v>
      </c>
      <c r="D122" t="s">
        <v>253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 x14ac:dyDescent="0.3">
      <c r="A123">
        <v>288</v>
      </c>
      <c r="B123">
        <v>2257</v>
      </c>
      <c r="C123" t="s">
        <v>299</v>
      </c>
      <c r="D123" t="s">
        <v>253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 x14ac:dyDescent="0.3">
      <c r="A124">
        <v>380</v>
      </c>
      <c r="B124">
        <v>2258</v>
      </c>
      <c r="C124" t="s">
        <v>316</v>
      </c>
      <c r="D124" t="s">
        <v>253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 x14ac:dyDescent="0.3">
      <c r="A125">
        <v>125</v>
      </c>
      <c r="B125">
        <v>2259</v>
      </c>
      <c r="C125" t="s">
        <v>267</v>
      </c>
      <c r="D125" t="s">
        <v>253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 x14ac:dyDescent="0.3">
      <c r="A126">
        <v>258</v>
      </c>
      <c r="B126">
        <v>2270</v>
      </c>
      <c r="C126" t="s">
        <v>292</v>
      </c>
      <c r="D126" t="s">
        <v>253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 x14ac:dyDescent="0.3">
      <c r="A127">
        <v>98</v>
      </c>
      <c r="B127">
        <v>2272</v>
      </c>
      <c r="C127" t="s">
        <v>264</v>
      </c>
      <c r="D127" t="s">
        <v>253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 x14ac:dyDescent="0.3">
      <c r="A128">
        <v>276</v>
      </c>
      <c r="B128">
        <v>2273</v>
      </c>
      <c r="C128" t="s">
        <v>296</v>
      </c>
      <c r="D128" t="s">
        <v>253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 x14ac:dyDescent="0.3">
      <c r="A129">
        <v>434</v>
      </c>
      <c r="B129">
        <v>2274</v>
      </c>
      <c r="C129" t="s">
        <v>320</v>
      </c>
      <c r="D129" t="s">
        <v>253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 x14ac:dyDescent="0.3">
      <c r="A130">
        <v>230</v>
      </c>
      <c r="B130">
        <v>2275</v>
      </c>
      <c r="C130" t="s">
        <v>289</v>
      </c>
      <c r="D130" t="s">
        <v>253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 x14ac:dyDescent="0.3">
      <c r="A131">
        <v>151</v>
      </c>
      <c r="B131">
        <v>2276</v>
      </c>
      <c r="C131" t="s">
        <v>275</v>
      </c>
      <c r="D131" t="s">
        <v>253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 x14ac:dyDescent="0.3">
      <c r="A132">
        <v>359</v>
      </c>
      <c r="B132">
        <v>2277</v>
      </c>
      <c r="C132" t="s">
        <v>310</v>
      </c>
      <c r="D132" t="s">
        <v>253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 x14ac:dyDescent="0.3">
      <c r="A133">
        <v>221</v>
      </c>
      <c r="B133">
        <v>2281</v>
      </c>
      <c r="C133" t="s">
        <v>287</v>
      </c>
      <c r="D133" t="s">
        <v>253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 x14ac:dyDescent="0.3">
      <c r="A134">
        <v>47</v>
      </c>
      <c r="B134">
        <v>2282</v>
      </c>
      <c r="C134" t="s">
        <v>259</v>
      </c>
      <c r="D134" t="s">
        <v>253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 x14ac:dyDescent="0.3">
      <c r="A135">
        <v>459</v>
      </c>
      <c r="B135">
        <v>2283</v>
      </c>
      <c r="C135" t="s">
        <v>324</v>
      </c>
      <c r="D135" t="s">
        <v>253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 x14ac:dyDescent="0.3">
      <c r="A136">
        <v>440</v>
      </c>
      <c r="B136">
        <v>2284</v>
      </c>
      <c r="C136" t="s">
        <v>321</v>
      </c>
      <c r="D136" t="s">
        <v>253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 x14ac:dyDescent="0.3">
      <c r="A137">
        <v>469</v>
      </c>
      <c r="B137">
        <v>2285</v>
      </c>
      <c r="C137" t="s">
        <v>330</v>
      </c>
      <c r="D137" t="s">
        <v>253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 x14ac:dyDescent="0.3">
      <c r="A138">
        <v>281</v>
      </c>
      <c r="B138">
        <v>2286</v>
      </c>
      <c r="C138" t="s">
        <v>297</v>
      </c>
      <c r="D138" t="s">
        <v>253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 x14ac:dyDescent="0.3">
      <c r="A139">
        <v>475</v>
      </c>
      <c r="B139">
        <v>2287</v>
      </c>
      <c r="C139" t="s">
        <v>331</v>
      </c>
      <c r="D139" t="s">
        <v>253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 x14ac:dyDescent="0.3">
      <c r="A140">
        <v>111</v>
      </c>
      <c r="B140">
        <v>2288</v>
      </c>
      <c r="C140" t="s">
        <v>265</v>
      </c>
      <c r="D140" t="s">
        <v>253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 x14ac:dyDescent="0.3">
      <c r="A141">
        <v>368</v>
      </c>
      <c r="B141">
        <v>2289</v>
      </c>
      <c r="C141" t="s">
        <v>312</v>
      </c>
      <c r="D141" t="s">
        <v>253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 x14ac:dyDescent="0.3">
      <c r="A142">
        <v>347</v>
      </c>
      <c r="B142">
        <v>2310</v>
      </c>
      <c r="C142" t="s">
        <v>308</v>
      </c>
      <c r="D142" t="s">
        <v>253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 x14ac:dyDescent="0.3">
      <c r="A143">
        <v>113</v>
      </c>
      <c r="B143">
        <v>2311</v>
      </c>
      <c r="C143" t="s">
        <v>266</v>
      </c>
      <c r="D143" t="s">
        <v>253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 x14ac:dyDescent="0.3">
      <c r="A144">
        <v>257</v>
      </c>
      <c r="B144">
        <v>2312</v>
      </c>
      <c r="C144" t="s">
        <v>291</v>
      </c>
      <c r="D144" t="s">
        <v>253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 x14ac:dyDescent="0.3">
      <c r="A145">
        <v>89</v>
      </c>
      <c r="B145">
        <v>2313</v>
      </c>
      <c r="C145" t="s">
        <v>263</v>
      </c>
      <c r="D145" t="s">
        <v>253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 x14ac:dyDescent="0.3">
      <c r="A146">
        <v>465</v>
      </c>
      <c r="B146">
        <v>2314</v>
      </c>
      <c r="C146" t="s">
        <v>328</v>
      </c>
      <c r="D146" t="s">
        <v>253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 x14ac:dyDescent="0.3">
      <c r="A147">
        <v>403</v>
      </c>
      <c r="B147">
        <v>2315</v>
      </c>
      <c r="C147" t="s">
        <v>318</v>
      </c>
      <c r="D147" t="s">
        <v>253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 x14ac:dyDescent="0.3">
      <c r="A148">
        <v>464</v>
      </c>
      <c r="B148">
        <v>2316</v>
      </c>
      <c r="C148" t="s">
        <v>327</v>
      </c>
      <c r="D148" t="s">
        <v>253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 x14ac:dyDescent="0.3">
      <c r="A149">
        <v>256</v>
      </c>
      <c r="B149">
        <v>2317</v>
      </c>
      <c r="C149" t="s">
        <v>290</v>
      </c>
      <c r="D149" t="s">
        <v>253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 x14ac:dyDescent="0.3">
      <c r="A150">
        <v>178</v>
      </c>
      <c r="B150">
        <v>2318</v>
      </c>
      <c r="C150" t="s">
        <v>276</v>
      </c>
      <c r="D150" t="s">
        <v>253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 x14ac:dyDescent="0.3">
      <c r="A151">
        <v>291</v>
      </c>
      <c r="B151">
        <v>2319</v>
      </c>
      <c r="C151" t="s">
        <v>300</v>
      </c>
      <c r="D151" t="s">
        <v>253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 x14ac:dyDescent="0.3">
      <c r="A152">
        <v>214</v>
      </c>
      <c r="B152">
        <v>2321</v>
      </c>
      <c r="C152" t="s">
        <v>282</v>
      </c>
      <c r="D152" t="s">
        <v>253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 x14ac:dyDescent="0.3">
      <c r="A153">
        <v>213</v>
      </c>
      <c r="B153">
        <v>2322</v>
      </c>
      <c r="C153" t="s">
        <v>281</v>
      </c>
      <c r="D153" t="s">
        <v>253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 x14ac:dyDescent="0.3">
      <c r="A154">
        <v>310</v>
      </c>
      <c r="B154">
        <v>2323</v>
      </c>
      <c r="C154" t="s">
        <v>303</v>
      </c>
      <c r="D154" t="s">
        <v>253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 x14ac:dyDescent="0.3">
      <c r="A155">
        <v>208</v>
      </c>
      <c r="B155">
        <v>2324</v>
      </c>
      <c r="C155" t="s">
        <v>279</v>
      </c>
      <c r="D155" t="s">
        <v>253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 x14ac:dyDescent="0.3">
      <c r="A156">
        <v>144</v>
      </c>
      <c r="B156">
        <v>2325</v>
      </c>
      <c r="C156" t="s">
        <v>274</v>
      </c>
      <c r="D156" t="s">
        <v>253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 x14ac:dyDescent="0.3">
      <c r="A157">
        <v>46</v>
      </c>
      <c r="B157">
        <v>2326</v>
      </c>
      <c r="C157" t="s">
        <v>258</v>
      </c>
      <c r="D157" t="s">
        <v>253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 x14ac:dyDescent="0.3">
      <c r="A158">
        <v>312</v>
      </c>
      <c r="B158">
        <v>2327</v>
      </c>
      <c r="C158" t="s">
        <v>304</v>
      </c>
      <c r="D158" t="s">
        <v>253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 x14ac:dyDescent="0.3">
      <c r="A159">
        <v>297</v>
      </c>
      <c r="B159">
        <v>2331</v>
      </c>
      <c r="C159" t="s">
        <v>301</v>
      </c>
      <c r="D159" t="s">
        <v>253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 x14ac:dyDescent="0.3">
      <c r="A160">
        <v>187</v>
      </c>
      <c r="B160">
        <v>2341</v>
      </c>
      <c r="C160" t="s">
        <v>278</v>
      </c>
      <c r="D160" t="s">
        <v>253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 x14ac:dyDescent="0.3">
      <c r="A161">
        <v>334</v>
      </c>
      <c r="B161">
        <v>2342</v>
      </c>
      <c r="C161" t="s">
        <v>305</v>
      </c>
      <c r="D161" t="s">
        <v>253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 x14ac:dyDescent="0.3">
      <c r="A162">
        <v>87</v>
      </c>
      <c r="B162">
        <v>2343</v>
      </c>
      <c r="C162" t="s">
        <v>262</v>
      </c>
      <c r="D162" t="s">
        <v>253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 x14ac:dyDescent="0.3">
      <c r="A163">
        <v>209</v>
      </c>
      <c r="B163">
        <v>2344</v>
      </c>
      <c r="C163" t="s">
        <v>280</v>
      </c>
      <c r="D163" t="s">
        <v>253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 x14ac:dyDescent="0.3">
      <c r="A164">
        <v>10</v>
      </c>
      <c r="B164">
        <v>2345</v>
      </c>
      <c r="C164" t="s">
        <v>254</v>
      </c>
      <c r="D164" t="s">
        <v>253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 x14ac:dyDescent="0.3">
      <c r="A165">
        <v>139</v>
      </c>
      <c r="B165">
        <v>2351</v>
      </c>
      <c r="C165" t="s">
        <v>272</v>
      </c>
      <c r="D165" t="s">
        <v>253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 x14ac:dyDescent="0.3">
      <c r="A166">
        <v>338</v>
      </c>
      <c r="B166">
        <v>2352</v>
      </c>
      <c r="C166" t="s">
        <v>306</v>
      </c>
      <c r="D166" t="s">
        <v>253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 x14ac:dyDescent="0.3">
      <c r="A167">
        <v>375</v>
      </c>
      <c r="B167">
        <v>2353</v>
      </c>
      <c r="C167" t="s">
        <v>313</v>
      </c>
      <c r="D167" t="s">
        <v>253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 x14ac:dyDescent="0.3">
      <c r="A168">
        <v>29</v>
      </c>
      <c r="B168">
        <v>2354</v>
      </c>
      <c r="C168" t="s">
        <v>255</v>
      </c>
      <c r="D168" t="s">
        <v>253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 x14ac:dyDescent="0.3">
      <c r="A169">
        <v>315</v>
      </c>
      <c r="B169">
        <v>2360</v>
      </c>
      <c r="C169" t="s">
        <v>153</v>
      </c>
      <c r="D169" t="s">
        <v>143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 x14ac:dyDescent="0.3">
      <c r="A170">
        <v>262</v>
      </c>
      <c r="B170">
        <v>2361</v>
      </c>
      <c r="C170" t="s">
        <v>293</v>
      </c>
      <c r="D170" t="s">
        <v>253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 x14ac:dyDescent="0.3">
      <c r="A171">
        <v>143</v>
      </c>
      <c r="B171">
        <v>2362</v>
      </c>
      <c r="C171" t="s">
        <v>273</v>
      </c>
      <c r="D171" t="s">
        <v>253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 x14ac:dyDescent="0.3">
      <c r="A172">
        <v>286</v>
      </c>
      <c r="B172">
        <v>2363</v>
      </c>
      <c r="C172" t="s">
        <v>151</v>
      </c>
      <c r="D172" t="s">
        <v>143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 x14ac:dyDescent="0.3">
      <c r="A173">
        <v>326</v>
      </c>
      <c r="B173">
        <v>2364</v>
      </c>
      <c r="C173" t="s">
        <v>155</v>
      </c>
      <c r="D173" t="s">
        <v>143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 x14ac:dyDescent="0.3">
      <c r="A174">
        <v>454</v>
      </c>
      <c r="B174">
        <v>2365</v>
      </c>
      <c r="C174" t="s">
        <v>160</v>
      </c>
      <c r="D174" t="s">
        <v>143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 x14ac:dyDescent="0.3">
      <c r="A175">
        <v>244</v>
      </c>
      <c r="B175">
        <v>2366</v>
      </c>
      <c r="C175" t="s">
        <v>149</v>
      </c>
      <c r="D175" t="s">
        <v>143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 x14ac:dyDescent="0.3">
      <c r="A176">
        <v>455</v>
      </c>
      <c r="B176">
        <v>2367</v>
      </c>
      <c r="C176" t="s">
        <v>161</v>
      </c>
      <c r="D176" t="s">
        <v>143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 x14ac:dyDescent="0.3">
      <c r="A177">
        <v>83</v>
      </c>
      <c r="B177">
        <v>2370</v>
      </c>
      <c r="C177" t="s">
        <v>144</v>
      </c>
      <c r="D177" t="s">
        <v>143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 x14ac:dyDescent="0.3">
      <c r="A178">
        <v>417</v>
      </c>
      <c r="B178">
        <v>2371</v>
      </c>
      <c r="C178" t="s">
        <v>159</v>
      </c>
      <c r="D178" t="s">
        <v>143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 x14ac:dyDescent="0.3">
      <c r="A179">
        <v>186</v>
      </c>
      <c r="B179">
        <v>2372</v>
      </c>
      <c r="C179" t="s">
        <v>146</v>
      </c>
      <c r="D179" t="s">
        <v>143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 x14ac:dyDescent="0.3">
      <c r="A180">
        <v>388</v>
      </c>
      <c r="B180">
        <v>2373</v>
      </c>
      <c r="C180" t="s">
        <v>157</v>
      </c>
      <c r="D180" t="s">
        <v>143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 x14ac:dyDescent="0.3">
      <c r="A181">
        <v>346</v>
      </c>
      <c r="B181">
        <v>2380</v>
      </c>
      <c r="C181" t="s">
        <v>156</v>
      </c>
      <c r="D181" t="s">
        <v>143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 x14ac:dyDescent="0.3">
      <c r="A182">
        <v>278</v>
      </c>
      <c r="B182">
        <v>2381</v>
      </c>
      <c r="C182" t="s">
        <v>150</v>
      </c>
      <c r="D182" t="s">
        <v>143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 x14ac:dyDescent="0.3">
      <c r="A183">
        <v>234</v>
      </c>
      <c r="B183">
        <v>2382</v>
      </c>
      <c r="C183" t="s">
        <v>148</v>
      </c>
      <c r="D183" t="s">
        <v>143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 x14ac:dyDescent="0.3">
      <c r="A184">
        <v>407</v>
      </c>
      <c r="B184">
        <v>2383</v>
      </c>
      <c r="C184" t="s">
        <v>158</v>
      </c>
      <c r="D184" t="s">
        <v>143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 x14ac:dyDescent="0.3">
      <c r="A185">
        <v>321</v>
      </c>
      <c r="B185">
        <v>2390</v>
      </c>
      <c r="C185" t="s">
        <v>154</v>
      </c>
      <c r="D185" t="s">
        <v>143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 x14ac:dyDescent="0.3">
      <c r="A186">
        <v>303</v>
      </c>
      <c r="B186">
        <v>2391</v>
      </c>
      <c r="C186" t="s">
        <v>152</v>
      </c>
      <c r="D186" t="s">
        <v>143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 x14ac:dyDescent="0.3">
      <c r="A187">
        <v>228</v>
      </c>
      <c r="B187">
        <v>2392</v>
      </c>
      <c r="C187" t="s">
        <v>147</v>
      </c>
      <c r="D187" t="s">
        <v>143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 x14ac:dyDescent="0.3">
      <c r="A188">
        <v>53</v>
      </c>
      <c r="B188">
        <v>2393</v>
      </c>
      <c r="C188" t="s">
        <v>142</v>
      </c>
      <c r="D188" t="s">
        <v>143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 x14ac:dyDescent="0.3">
      <c r="A189">
        <v>162</v>
      </c>
      <c r="B189">
        <v>2394</v>
      </c>
      <c r="C189" t="s">
        <v>145</v>
      </c>
      <c r="D189" t="s">
        <v>143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 x14ac:dyDescent="0.3">
      <c r="A190">
        <v>38</v>
      </c>
      <c r="B190">
        <v>3000</v>
      </c>
      <c r="C190" t="s">
        <v>423</v>
      </c>
      <c r="D190" t="s">
        <v>420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 x14ac:dyDescent="0.3">
      <c r="A191">
        <v>39</v>
      </c>
      <c r="B191">
        <v>3001</v>
      </c>
      <c r="C191" t="s">
        <v>424</v>
      </c>
      <c r="D191" t="s">
        <v>420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 x14ac:dyDescent="0.3">
      <c r="A192">
        <v>408</v>
      </c>
      <c r="B192">
        <v>3201</v>
      </c>
      <c r="C192" t="s">
        <v>471</v>
      </c>
      <c r="D192" t="s">
        <v>420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 x14ac:dyDescent="0.3">
      <c r="A193">
        <v>189</v>
      </c>
      <c r="B193">
        <v>3202</v>
      </c>
      <c r="C193" t="s">
        <v>439</v>
      </c>
      <c r="D193" t="s">
        <v>420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 x14ac:dyDescent="0.3">
      <c r="A194">
        <v>248</v>
      </c>
      <c r="B194">
        <v>3203</v>
      </c>
      <c r="C194" t="s">
        <v>446</v>
      </c>
      <c r="D194" t="s">
        <v>420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 x14ac:dyDescent="0.3">
      <c r="A195">
        <v>67</v>
      </c>
      <c r="B195">
        <v>3204</v>
      </c>
      <c r="C195" t="s">
        <v>426</v>
      </c>
      <c r="D195" t="s">
        <v>420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 x14ac:dyDescent="0.3">
      <c r="A196">
        <v>445</v>
      </c>
      <c r="B196">
        <v>3205</v>
      </c>
      <c r="C196" t="s">
        <v>478</v>
      </c>
      <c r="D196" t="s">
        <v>420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 x14ac:dyDescent="0.3">
      <c r="A197">
        <v>370</v>
      </c>
      <c r="B197">
        <v>3206</v>
      </c>
      <c r="C197" t="s">
        <v>463</v>
      </c>
      <c r="D197" t="s">
        <v>420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 x14ac:dyDescent="0.3">
      <c r="A198">
        <v>348</v>
      </c>
      <c r="B198">
        <v>3210</v>
      </c>
      <c r="C198" t="s">
        <v>461</v>
      </c>
      <c r="D198" t="s">
        <v>420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 x14ac:dyDescent="0.3">
      <c r="A199">
        <v>397</v>
      </c>
      <c r="B199">
        <v>3211</v>
      </c>
      <c r="C199" t="s">
        <v>467</v>
      </c>
      <c r="D199" t="s">
        <v>420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 x14ac:dyDescent="0.3">
      <c r="A200">
        <v>448</v>
      </c>
      <c r="B200">
        <v>3212</v>
      </c>
      <c r="C200" t="s">
        <v>479</v>
      </c>
      <c r="D200" t="s">
        <v>420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 x14ac:dyDescent="0.3">
      <c r="A201">
        <v>90</v>
      </c>
      <c r="B201">
        <v>3213</v>
      </c>
      <c r="C201" t="s">
        <v>428</v>
      </c>
      <c r="D201" t="s">
        <v>420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 x14ac:dyDescent="0.3">
      <c r="A202">
        <v>471</v>
      </c>
      <c r="B202">
        <v>3214</v>
      </c>
      <c r="C202" t="s">
        <v>481</v>
      </c>
      <c r="D202" s="2" t="s">
        <v>420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 x14ac:dyDescent="0.3">
      <c r="A203">
        <v>200</v>
      </c>
      <c r="B203">
        <v>3215</v>
      </c>
      <c r="C203" t="s">
        <v>441</v>
      </c>
      <c r="D203" t="s">
        <v>420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 x14ac:dyDescent="0.3">
      <c r="A204">
        <v>411</v>
      </c>
      <c r="B204">
        <v>3220</v>
      </c>
      <c r="C204" t="s">
        <v>473</v>
      </c>
      <c r="D204" t="s">
        <v>420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 x14ac:dyDescent="0.3">
      <c r="A205">
        <v>413</v>
      </c>
      <c r="B205">
        <v>3221</v>
      </c>
      <c r="C205" t="s">
        <v>475</v>
      </c>
      <c r="D205" t="s">
        <v>420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 x14ac:dyDescent="0.3">
      <c r="A206">
        <v>82</v>
      </c>
      <c r="B206">
        <v>3222</v>
      </c>
      <c r="C206" t="s">
        <v>427</v>
      </c>
      <c r="D206" t="s">
        <v>420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 x14ac:dyDescent="0.3">
      <c r="A207">
        <v>205</v>
      </c>
      <c r="B207">
        <v>3223</v>
      </c>
      <c r="C207" t="s">
        <v>442</v>
      </c>
      <c r="D207" t="s">
        <v>420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 x14ac:dyDescent="0.3">
      <c r="A208">
        <v>63</v>
      </c>
      <c r="B208">
        <v>3224</v>
      </c>
      <c r="C208" t="s">
        <v>425</v>
      </c>
      <c r="D208" t="s">
        <v>420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 x14ac:dyDescent="0.3">
      <c r="A209">
        <v>271</v>
      </c>
      <c r="B209">
        <v>3225</v>
      </c>
      <c r="C209" t="s">
        <v>448</v>
      </c>
      <c r="D209" t="s">
        <v>420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 x14ac:dyDescent="0.3">
      <c r="A210">
        <v>390</v>
      </c>
      <c r="B210">
        <v>3230</v>
      </c>
      <c r="C210" t="s">
        <v>466</v>
      </c>
      <c r="D210" t="s">
        <v>420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 x14ac:dyDescent="0.3">
      <c r="A211">
        <v>109</v>
      </c>
      <c r="B211">
        <v>3231</v>
      </c>
      <c r="C211" t="s">
        <v>433</v>
      </c>
      <c r="D211" t="s">
        <v>420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 x14ac:dyDescent="0.3">
      <c r="A212">
        <v>294</v>
      </c>
      <c r="B212">
        <v>3232</v>
      </c>
      <c r="C212" t="s">
        <v>453</v>
      </c>
      <c r="D212" t="s">
        <v>420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 x14ac:dyDescent="0.3">
      <c r="A213">
        <v>137</v>
      </c>
      <c r="B213">
        <v>3233</v>
      </c>
      <c r="C213" t="s">
        <v>435</v>
      </c>
      <c r="D213" t="s">
        <v>420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 x14ac:dyDescent="0.3">
      <c r="A214">
        <v>401</v>
      </c>
      <c r="B214">
        <v>3240</v>
      </c>
      <c r="C214" t="s">
        <v>468</v>
      </c>
      <c r="D214" t="s">
        <v>420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 x14ac:dyDescent="0.3">
      <c r="A215">
        <v>284</v>
      </c>
      <c r="B215">
        <v>3241</v>
      </c>
      <c r="C215" t="s">
        <v>450</v>
      </c>
      <c r="D215" t="s">
        <v>420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 x14ac:dyDescent="0.3">
      <c r="A216">
        <v>330</v>
      </c>
      <c r="B216">
        <v>3250</v>
      </c>
      <c r="C216" t="s">
        <v>459</v>
      </c>
      <c r="D216" t="s">
        <v>420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 x14ac:dyDescent="0.3">
      <c r="A217">
        <v>332</v>
      </c>
      <c r="B217">
        <v>3252</v>
      </c>
      <c r="C217" t="s">
        <v>460</v>
      </c>
      <c r="D217" t="s">
        <v>420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 x14ac:dyDescent="0.3">
      <c r="A218">
        <v>306</v>
      </c>
      <c r="B218">
        <v>3253</v>
      </c>
      <c r="C218" t="s">
        <v>456</v>
      </c>
      <c r="D218" t="s">
        <v>420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 x14ac:dyDescent="0.3">
      <c r="A219">
        <v>275</v>
      </c>
      <c r="B219">
        <v>3254</v>
      </c>
      <c r="C219" t="s">
        <v>449</v>
      </c>
      <c r="D219" t="s">
        <v>420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 x14ac:dyDescent="0.3">
      <c r="A220">
        <v>35</v>
      </c>
      <c r="B220">
        <v>3255</v>
      </c>
      <c r="C220" t="s">
        <v>422</v>
      </c>
      <c r="D220" t="s">
        <v>420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 x14ac:dyDescent="0.3">
      <c r="A221">
        <v>11</v>
      </c>
      <c r="B221">
        <v>3256</v>
      </c>
      <c r="C221" t="s">
        <v>419</v>
      </c>
      <c r="D221" t="s">
        <v>420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 x14ac:dyDescent="0.3">
      <c r="A222">
        <v>285</v>
      </c>
      <c r="B222">
        <v>3257</v>
      </c>
      <c r="C222" t="s">
        <v>451</v>
      </c>
      <c r="D222" t="s">
        <v>420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 x14ac:dyDescent="0.3">
      <c r="A223">
        <v>164</v>
      </c>
      <c r="B223">
        <v>3260</v>
      </c>
      <c r="C223" t="s">
        <v>436</v>
      </c>
      <c r="D223" t="s">
        <v>420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 x14ac:dyDescent="0.3">
      <c r="A224">
        <v>184</v>
      </c>
      <c r="B224">
        <v>3261</v>
      </c>
      <c r="C224" t="s">
        <v>438</v>
      </c>
      <c r="D224" t="s">
        <v>420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 x14ac:dyDescent="0.3">
      <c r="A225">
        <v>304</v>
      </c>
      <c r="B225">
        <v>3262</v>
      </c>
      <c r="C225" t="s">
        <v>455</v>
      </c>
      <c r="D225" t="s">
        <v>420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 x14ac:dyDescent="0.3">
      <c r="A226">
        <v>97</v>
      </c>
      <c r="B226">
        <v>3263</v>
      </c>
      <c r="C226" t="s">
        <v>430</v>
      </c>
      <c r="D226" t="s">
        <v>420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 x14ac:dyDescent="0.3">
      <c r="A227">
        <v>379</v>
      </c>
      <c r="B227">
        <v>3264</v>
      </c>
      <c r="C227" t="s">
        <v>464</v>
      </c>
      <c r="D227" t="s">
        <v>420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 x14ac:dyDescent="0.3">
      <c r="A228">
        <v>179</v>
      </c>
      <c r="B228">
        <v>3270</v>
      </c>
      <c r="C228" t="s">
        <v>437</v>
      </c>
      <c r="D228" t="s">
        <v>420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 x14ac:dyDescent="0.3">
      <c r="A229">
        <v>391</v>
      </c>
      <c r="B229">
        <v>3271</v>
      </c>
      <c r="C229" t="s">
        <v>132</v>
      </c>
      <c r="D229" t="s">
        <v>96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 x14ac:dyDescent="0.3">
      <c r="A230">
        <v>327</v>
      </c>
      <c r="B230">
        <v>3272</v>
      </c>
      <c r="C230" t="s">
        <v>458</v>
      </c>
      <c r="D230" t="s">
        <v>420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 x14ac:dyDescent="0.3">
      <c r="A231">
        <v>133</v>
      </c>
      <c r="B231">
        <v>3273</v>
      </c>
      <c r="C231" t="s">
        <v>434</v>
      </c>
      <c r="D231" t="s">
        <v>420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 x14ac:dyDescent="0.3">
      <c r="A232">
        <v>266</v>
      </c>
      <c r="B232">
        <v>3301</v>
      </c>
      <c r="C232" t="s">
        <v>447</v>
      </c>
      <c r="D232" t="s">
        <v>420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 x14ac:dyDescent="0.3">
      <c r="A233">
        <v>108</v>
      </c>
      <c r="B233">
        <v>3302</v>
      </c>
      <c r="C233" t="s">
        <v>432</v>
      </c>
      <c r="D233" t="s">
        <v>420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 x14ac:dyDescent="0.3">
      <c r="A234">
        <v>95</v>
      </c>
      <c r="B234">
        <v>3303</v>
      </c>
      <c r="C234" t="s">
        <v>429</v>
      </c>
      <c r="D234" t="s">
        <v>420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 x14ac:dyDescent="0.3">
      <c r="A235">
        <v>412</v>
      </c>
      <c r="B235">
        <v>3304</v>
      </c>
      <c r="C235" t="s">
        <v>474</v>
      </c>
      <c r="D235" t="s">
        <v>420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 x14ac:dyDescent="0.3">
      <c r="A236">
        <v>451</v>
      </c>
      <c r="B236">
        <v>3305</v>
      </c>
      <c r="C236" t="s">
        <v>480</v>
      </c>
      <c r="D236" t="s">
        <v>420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 x14ac:dyDescent="0.3">
      <c r="A237">
        <v>473</v>
      </c>
      <c r="B237">
        <v>3310</v>
      </c>
      <c r="C237" t="s">
        <v>482</v>
      </c>
      <c r="D237" t="s">
        <v>420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 x14ac:dyDescent="0.3">
      <c r="A238">
        <v>384</v>
      </c>
      <c r="B238">
        <v>3311</v>
      </c>
      <c r="C238" t="s">
        <v>465</v>
      </c>
      <c r="D238" t="s">
        <v>420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 x14ac:dyDescent="0.3">
      <c r="A239">
        <v>298</v>
      </c>
      <c r="B239">
        <v>3312</v>
      </c>
      <c r="C239" t="s">
        <v>454</v>
      </c>
      <c r="D239" t="s">
        <v>420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 x14ac:dyDescent="0.3">
      <c r="A240">
        <v>293</v>
      </c>
      <c r="B240">
        <v>3313</v>
      </c>
      <c r="C240" t="s">
        <v>452</v>
      </c>
      <c r="D240" t="s">
        <v>420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 x14ac:dyDescent="0.3">
      <c r="A241">
        <v>26</v>
      </c>
      <c r="B241">
        <v>3314</v>
      </c>
      <c r="C241" t="s">
        <v>421</v>
      </c>
      <c r="D241" t="s">
        <v>420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 x14ac:dyDescent="0.3">
      <c r="A242">
        <v>431</v>
      </c>
      <c r="B242">
        <v>3320</v>
      </c>
      <c r="C242" t="s">
        <v>477</v>
      </c>
      <c r="D242" t="s">
        <v>420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 x14ac:dyDescent="0.3">
      <c r="A243">
        <v>432</v>
      </c>
      <c r="B243">
        <v>3322</v>
      </c>
      <c r="C243" t="s">
        <v>477</v>
      </c>
      <c r="D243" t="s">
        <v>420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 x14ac:dyDescent="0.3">
      <c r="A244">
        <v>409</v>
      </c>
      <c r="B244">
        <v>3325</v>
      </c>
      <c r="C244" t="s">
        <v>472</v>
      </c>
      <c r="D244" t="s">
        <v>420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 x14ac:dyDescent="0.3">
      <c r="A245">
        <v>416</v>
      </c>
      <c r="B245">
        <v>3326</v>
      </c>
      <c r="C245" t="s">
        <v>476</v>
      </c>
      <c r="D245" t="s">
        <v>420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 x14ac:dyDescent="0.3">
      <c r="A246">
        <v>405</v>
      </c>
      <c r="B246">
        <v>3327</v>
      </c>
      <c r="C246" t="s">
        <v>470</v>
      </c>
      <c r="D246" t="s">
        <v>420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 x14ac:dyDescent="0.3">
      <c r="A247">
        <v>241</v>
      </c>
      <c r="B247">
        <v>3330</v>
      </c>
      <c r="C247" t="s">
        <v>444</v>
      </c>
      <c r="D247" t="s">
        <v>420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 x14ac:dyDescent="0.3">
      <c r="A248">
        <v>246</v>
      </c>
      <c r="B248">
        <v>3331</v>
      </c>
      <c r="C248" t="s">
        <v>445</v>
      </c>
      <c r="D248" t="s">
        <v>420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 x14ac:dyDescent="0.3">
      <c r="A249">
        <v>323</v>
      </c>
      <c r="B249">
        <v>3332</v>
      </c>
      <c r="C249" t="s">
        <v>457</v>
      </c>
      <c r="D249" t="s">
        <v>420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 x14ac:dyDescent="0.3">
      <c r="A250">
        <v>198</v>
      </c>
      <c r="B250">
        <v>3333</v>
      </c>
      <c r="C250" t="s">
        <v>440</v>
      </c>
      <c r="D250" t="s">
        <v>420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 x14ac:dyDescent="0.3">
      <c r="A251">
        <v>210</v>
      </c>
      <c r="B251">
        <v>3334</v>
      </c>
      <c r="C251" t="s">
        <v>443</v>
      </c>
      <c r="D251" t="s">
        <v>420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 x14ac:dyDescent="0.3">
      <c r="A252">
        <v>352</v>
      </c>
      <c r="B252">
        <v>3335</v>
      </c>
      <c r="C252" t="s">
        <v>462</v>
      </c>
      <c r="D252" t="s">
        <v>420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 x14ac:dyDescent="0.3">
      <c r="A253">
        <v>404</v>
      </c>
      <c r="B253">
        <v>3341</v>
      </c>
      <c r="C253" t="s">
        <v>469</v>
      </c>
      <c r="D253" t="s">
        <v>420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 x14ac:dyDescent="0.3">
      <c r="A254">
        <v>100</v>
      </c>
      <c r="B254">
        <v>3342</v>
      </c>
      <c r="C254" t="s">
        <v>431</v>
      </c>
      <c r="D254" t="s">
        <v>420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 x14ac:dyDescent="0.3">
      <c r="A255">
        <v>165</v>
      </c>
      <c r="B255">
        <v>4000</v>
      </c>
      <c r="C255" t="s">
        <v>22</v>
      </c>
      <c r="D255" t="s">
        <v>6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 x14ac:dyDescent="0.3">
      <c r="A256">
        <v>166</v>
      </c>
      <c r="B256">
        <v>4001</v>
      </c>
      <c r="C256" t="s">
        <v>23</v>
      </c>
      <c r="D256" t="s">
        <v>6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 x14ac:dyDescent="0.3">
      <c r="A257">
        <v>461</v>
      </c>
      <c r="B257">
        <v>4201</v>
      </c>
      <c r="C257" t="s">
        <v>44</v>
      </c>
      <c r="D257" t="s">
        <v>6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 x14ac:dyDescent="0.3">
      <c r="A258">
        <v>245</v>
      </c>
      <c r="B258">
        <v>4202</v>
      </c>
      <c r="C258" t="s">
        <v>30</v>
      </c>
      <c r="D258" t="s">
        <v>6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 x14ac:dyDescent="0.3">
      <c r="A259">
        <v>84</v>
      </c>
      <c r="B259">
        <v>4203</v>
      </c>
      <c r="C259" t="s">
        <v>15</v>
      </c>
      <c r="D259" t="s">
        <v>6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 x14ac:dyDescent="0.3">
      <c r="A260">
        <v>94</v>
      </c>
      <c r="B260">
        <v>4204</v>
      </c>
      <c r="C260" t="s">
        <v>16</v>
      </c>
      <c r="D260" t="s">
        <v>6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 x14ac:dyDescent="0.3">
      <c r="A261">
        <v>299</v>
      </c>
      <c r="B261">
        <v>4205</v>
      </c>
      <c r="C261" t="s">
        <v>33</v>
      </c>
      <c r="D261" t="s">
        <v>6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 x14ac:dyDescent="0.3">
      <c r="A262">
        <v>468</v>
      </c>
      <c r="B262">
        <v>4206</v>
      </c>
      <c r="C262" t="s">
        <v>46</v>
      </c>
      <c r="D262" t="s">
        <v>6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 x14ac:dyDescent="0.3">
      <c r="A263">
        <v>40</v>
      </c>
      <c r="B263">
        <v>4207</v>
      </c>
      <c r="C263" t="s">
        <v>14</v>
      </c>
      <c r="D263" t="s">
        <v>6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 x14ac:dyDescent="0.3">
      <c r="A264">
        <v>385</v>
      </c>
      <c r="B264">
        <v>4208</v>
      </c>
      <c r="C264" t="s">
        <v>40</v>
      </c>
      <c r="D264" t="s">
        <v>6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 x14ac:dyDescent="0.3">
      <c r="A265">
        <v>472</v>
      </c>
      <c r="B265">
        <v>4209</v>
      </c>
      <c r="C265" t="s">
        <v>47</v>
      </c>
      <c r="D265" t="s">
        <v>6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 x14ac:dyDescent="0.3">
      <c r="A266">
        <v>33</v>
      </c>
      <c r="B266">
        <v>4210</v>
      </c>
      <c r="C266" t="s">
        <v>13</v>
      </c>
      <c r="D266" t="s">
        <v>6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 x14ac:dyDescent="0.3">
      <c r="A267">
        <v>224</v>
      </c>
      <c r="B267">
        <v>4211</v>
      </c>
      <c r="C267" t="s">
        <v>28</v>
      </c>
      <c r="D267" t="s">
        <v>6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 x14ac:dyDescent="0.3">
      <c r="A268">
        <v>443</v>
      </c>
      <c r="B268">
        <v>4212</v>
      </c>
      <c r="C268" t="s">
        <v>43</v>
      </c>
      <c r="D268" t="s">
        <v>6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 x14ac:dyDescent="0.3">
      <c r="A269">
        <v>396</v>
      </c>
      <c r="B269">
        <v>4220</v>
      </c>
      <c r="C269" t="s">
        <v>41</v>
      </c>
      <c r="D269" t="s">
        <v>6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 x14ac:dyDescent="0.3">
      <c r="A270">
        <v>290</v>
      </c>
      <c r="B270">
        <v>4223</v>
      </c>
      <c r="C270" t="s">
        <v>32</v>
      </c>
      <c r="D270" t="s">
        <v>6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 x14ac:dyDescent="0.3">
      <c r="A271">
        <v>96</v>
      </c>
      <c r="B271">
        <v>4224</v>
      </c>
      <c r="C271" t="s">
        <v>17</v>
      </c>
      <c r="D271" t="s">
        <v>6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 x14ac:dyDescent="0.3">
      <c r="A272">
        <v>355</v>
      </c>
      <c r="B272">
        <v>4225</v>
      </c>
      <c r="C272" t="s">
        <v>38</v>
      </c>
      <c r="D272" t="s">
        <v>6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 x14ac:dyDescent="0.3">
      <c r="A273">
        <v>476</v>
      </c>
      <c r="B273">
        <v>4226</v>
      </c>
      <c r="C273" t="s">
        <v>49</v>
      </c>
      <c r="D273" t="s">
        <v>6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 x14ac:dyDescent="0.3">
      <c r="A274">
        <v>337</v>
      </c>
      <c r="B274">
        <v>4227</v>
      </c>
      <c r="C274" t="s">
        <v>36</v>
      </c>
      <c r="D274" t="s">
        <v>6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 x14ac:dyDescent="0.3">
      <c r="A275">
        <v>474</v>
      </c>
      <c r="B275">
        <v>4228</v>
      </c>
      <c r="C275" t="s">
        <v>48</v>
      </c>
      <c r="D275" t="s">
        <v>6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 x14ac:dyDescent="0.3">
      <c r="A276">
        <v>354</v>
      </c>
      <c r="B276">
        <v>4229</v>
      </c>
      <c r="C276" t="s">
        <v>37</v>
      </c>
      <c r="D276" t="s">
        <v>6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 x14ac:dyDescent="0.3">
      <c r="A277">
        <v>317</v>
      </c>
      <c r="B277">
        <v>4240</v>
      </c>
      <c r="C277" t="s">
        <v>34</v>
      </c>
      <c r="D277" t="s">
        <v>6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 x14ac:dyDescent="0.3">
      <c r="A278">
        <v>30</v>
      </c>
      <c r="B278">
        <v>4243</v>
      </c>
      <c r="C278" t="s">
        <v>12</v>
      </c>
      <c r="D278" t="s">
        <v>6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 x14ac:dyDescent="0.3">
      <c r="A279">
        <v>283</v>
      </c>
      <c r="B279">
        <v>4244</v>
      </c>
      <c r="C279" t="s">
        <v>31</v>
      </c>
      <c r="D279" t="s">
        <v>6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 x14ac:dyDescent="0.3">
      <c r="A280">
        <v>174</v>
      </c>
      <c r="B280">
        <v>4245</v>
      </c>
      <c r="C280" t="s">
        <v>26</v>
      </c>
      <c r="D280" t="s">
        <v>6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 x14ac:dyDescent="0.3">
      <c r="A281">
        <v>138</v>
      </c>
      <c r="B281">
        <v>4246</v>
      </c>
      <c r="C281" t="s">
        <v>21</v>
      </c>
      <c r="D281" t="s">
        <v>6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 x14ac:dyDescent="0.3">
      <c r="A282">
        <v>467</v>
      </c>
      <c r="B282">
        <v>4247</v>
      </c>
      <c r="C282" t="s">
        <v>45</v>
      </c>
      <c r="D282" t="s">
        <v>6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 x14ac:dyDescent="0.3">
      <c r="A283">
        <v>183</v>
      </c>
      <c r="B283">
        <v>4248</v>
      </c>
      <c r="C283" t="s">
        <v>27</v>
      </c>
      <c r="D283" t="s">
        <v>6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 x14ac:dyDescent="0.3">
      <c r="A284">
        <v>15</v>
      </c>
      <c r="B284">
        <v>4260</v>
      </c>
      <c r="C284" t="s">
        <v>7</v>
      </c>
      <c r="D284" t="s">
        <v>6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 x14ac:dyDescent="0.3">
      <c r="A285">
        <v>19</v>
      </c>
      <c r="B285">
        <v>4263</v>
      </c>
      <c r="C285" t="s">
        <v>9</v>
      </c>
      <c r="D285" t="s">
        <v>6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 x14ac:dyDescent="0.3">
      <c r="A286">
        <v>20</v>
      </c>
      <c r="B286">
        <v>4264</v>
      </c>
      <c r="C286" t="s">
        <v>10</v>
      </c>
      <c r="D286" t="s">
        <v>6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 x14ac:dyDescent="0.3">
      <c r="A287">
        <v>21</v>
      </c>
      <c r="B287">
        <v>4265</v>
      </c>
      <c r="C287" t="s">
        <v>11</v>
      </c>
      <c r="D287" t="s">
        <v>6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 x14ac:dyDescent="0.3">
      <c r="A288">
        <v>360</v>
      </c>
      <c r="B288">
        <v>4267</v>
      </c>
      <c r="C288" t="s">
        <v>39</v>
      </c>
      <c r="D288" t="s">
        <v>6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 x14ac:dyDescent="0.3">
      <c r="A289">
        <v>131</v>
      </c>
      <c r="B289">
        <v>4270</v>
      </c>
      <c r="C289" t="s">
        <v>20</v>
      </c>
      <c r="D289" t="s">
        <v>6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 x14ac:dyDescent="0.3">
      <c r="A290">
        <v>16</v>
      </c>
      <c r="B290">
        <v>4273</v>
      </c>
      <c r="C290" t="s">
        <v>8</v>
      </c>
      <c r="D290" t="s">
        <v>6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 x14ac:dyDescent="0.3">
      <c r="A291">
        <v>477</v>
      </c>
      <c r="B291">
        <v>4274</v>
      </c>
      <c r="C291" t="s">
        <v>50</v>
      </c>
      <c r="D291" t="s">
        <v>6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 x14ac:dyDescent="0.3">
      <c r="A292">
        <v>6</v>
      </c>
      <c r="B292">
        <v>4275</v>
      </c>
      <c r="C292" t="s">
        <v>5</v>
      </c>
      <c r="D292" t="s">
        <v>6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 x14ac:dyDescent="0.3">
      <c r="A293">
        <v>119</v>
      </c>
      <c r="B293">
        <v>4276</v>
      </c>
      <c r="C293" t="s">
        <v>19</v>
      </c>
      <c r="D293" t="s">
        <v>6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 x14ac:dyDescent="0.3">
      <c r="A294">
        <v>167</v>
      </c>
      <c r="B294">
        <v>4280</v>
      </c>
      <c r="C294" t="s">
        <v>24</v>
      </c>
      <c r="D294" t="s">
        <v>6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 x14ac:dyDescent="0.3">
      <c r="A295">
        <v>235</v>
      </c>
      <c r="B295">
        <v>4281</v>
      </c>
      <c r="C295" t="s">
        <v>29</v>
      </c>
      <c r="D295" t="s">
        <v>6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 x14ac:dyDescent="0.3">
      <c r="A296">
        <v>101</v>
      </c>
      <c r="B296">
        <v>4282</v>
      </c>
      <c r="C296" t="s">
        <v>18</v>
      </c>
      <c r="D296" t="s">
        <v>6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 x14ac:dyDescent="0.3">
      <c r="A297">
        <v>320</v>
      </c>
      <c r="B297">
        <v>4283</v>
      </c>
      <c r="C297" t="s">
        <v>35</v>
      </c>
      <c r="D297" t="s">
        <v>6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 x14ac:dyDescent="0.3">
      <c r="A298">
        <v>425</v>
      </c>
      <c r="B298">
        <v>4290</v>
      </c>
      <c r="C298" t="s">
        <v>42</v>
      </c>
      <c r="D298" t="s">
        <v>6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 x14ac:dyDescent="0.3">
      <c r="A299">
        <v>169</v>
      </c>
      <c r="B299">
        <v>4294</v>
      </c>
      <c r="C299" t="s">
        <v>25</v>
      </c>
      <c r="D299" t="s">
        <v>6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 x14ac:dyDescent="0.3">
      <c r="A300">
        <v>249</v>
      </c>
      <c r="B300">
        <v>5000</v>
      </c>
      <c r="C300" t="s">
        <v>77</v>
      </c>
      <c r="D300" t="s">
        <v>52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 x14ac:dyDescent="0.3">
      <c r="A301">
        <v>250</v>
      </c>
      <c r="B301">
        <v>5001</v>
      </c>
      <c r="C301" t="s">
        <v>78</v>
      </c>
      <c r="D301" t="s">
        <v>52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 x14ac:dyDescent="0.3">
      <c r="A302">
        <v>59</v>
      </c>
      <c r="B302">
        <v>5210</v>
      </c>
      <c r="C302" t="s">
        <v>61</v>
      </c>
      <c r="D302" t="s">
        <v>52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 x14ac:dyDescent="0.3">
      <c r="A303">
        <v>152</v>
      </c>
      <c r="B303">
        <v>5211</v>
      </c>
      <c r="C303" t="s">
        <v>72</v>
      </c>
      <c r="D303" t="s">
        <v>52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 x14ac:dyDescent="0.3">
      <c r="A304">
        <v>71</v>
      </c>
      <c r="B304">
        <v>5212</v>
      </c>
      <c r="C304" t="s">
        <v>63</v>
      </c>
      <c r="D304" t="s">
        <v>52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 x14ac:dyDescent="0.3">
      <c r="A305">
        <v>141</v>
      </c>
      <c r="B305">
        <v>5213</v>
      </c>
      <c r="C305" t="s">
        <v>70</v>
      </c>
      <c r="D305" t="s">
        <v>52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 x14ac:dyDescent="0.3">
      <c r="A306">
        <v>136</v>
      </c>
      <c r="B306">
        <v>5214</v>
      </c>
      <c r="C306" t="s">
        <v>69</v>
      </c>
      <c r="D306" t="s">
        <v>52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 x14ac:dyDescent="0.3">
      <c r="A307">
        <v>329</v>
      </c>
      <c r="B307">
        <v>5215</v>
      </c>
      <c r="C307" t="s">
        <v>83</v>
      </c>
      <c r="D307" t="s">
        <v>52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 x14ac:dyDescent="0.3">
      <c r="A308">
        <v>239</v>
      </c>
      <c r="B308">
        <v>5216</v>
      </c>
      <c r="C308" t="s">
        <v>76</v>
      </c>
      <c r="D308" t="s">
        <v>52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 x14ac:dyDescent="0.3">
      <c r="A309">
        <v>415</v>
      </c>
      <c r="B309">
        <v>5220</v>
      </c>
      <c r="C309" t="s">
        <v>91</v>
      </c>
      <c r="D309" t="s">
        <v>52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 x14ac:dyDescent="0.3">
      <c r="A310">
        <v>147</v>
      </c>
      <c r="B310">
        <v>5222</v>
      </c>
      <c r="C310" t="s">
        <v>71</v>
      </c>
      <c r="D310" t="s">
        <v>52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 x14ac:dyDescent="0.3">
      <c r="A311">
        <v>27</v>
      </c>
      <c r="B311">
        <v>5223</v>
      </c>
      <c r="C311" t="s">
        <v>55</v>
      </c>
      <c r="D311" t="s">
        <v>52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 x14ac:dyDescent="0.3">
      <c r="A312">
        <v>362</v>
      </c>
      <c r="B312">
        <v>5224</v>
      </c>
      <c r="C312" t="s">
        <v>88</v>
      </c>
      <c r="D312" t="s">
        <v>52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 x14ac:dyDescent="0.3">
      <c r="A313">
        <v>24</v>
      </c>
      <c r="B313">
        <v>5230</v>
      </c>
      <c r="C313" t="s">
        <v>53</v>
      </c>
      <c r="D313" t="s">
        <v>52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 x14ac:dyDescent="0.3">
      <c r="A314">
        <v>201</v>
      </c>
      <c r="B314">
        <v>5231</v>
      </c>
      <c r="C314" t="s">
        <v>74</v>
      </c>
      <c r="D314" t="s">
        <v>52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 x14ac:dyDescent="0.3">
      <c r="A315">
        <v>350</v>
      </c>
      <c r="B315">
        <v>5232</v>
      </c>
      <c r="C315" t="s">
        <v>85</v>
      </c>
      <c r="D315" t="s">
        <v>52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 x14ac:dyDescent="0.3">
      <c r="A316">
        <v>106</v>
      </c>
      <c r="B316">
        <v>5242</v>
      </c>
      <c r="C316" t="s">
        <v>66</v>
      </c>
      <c r="D316" t="s">
        <v>52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 x14ac:dyDescent="0.3">
      <c r="A317">
        <v>274</v>
      </c>
      <c r="B317">
        <v>5243</v>
      </c>
      <c r="C317" t="s">
        <v>79</v>
      </c>
      <c r="D317" t="s">
        <v>52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 x14ac:dyDescent="0.3">
      <c r="A318">
        <v>353</v>
      </c>
      <c r="B318">
        <v>5250</v>
      </c>
      <c r="C318" t="s">
        <v>86</v>
      </c>
      <c r="D318" t="s">
        <v>52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 x14ac:dyDescent="0.3">
      <c r="A319">
        <v>107</v>
      </c>
      <c r="B319">
        <v>5251</v>
      </c>
      <c r="C319" t="s">
        <v>67</v>
      </c>
      <c r="D319" t="s">
        <v>52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 x14ac:dyDescent="0.3">
      <c r="A320">
        <v>421</v>
      </c>
      <c r="B320">
        <v>5252</v>
      </c>
      <c r="C320" t="s">
        <v>92</v>
      </c>
      <c r="D320" t="s">
        <v>52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 x14ac:dyDescent="0.3">
      <c r="A321">
        <v>51</v>
      </c>
      <c r="B321">
        <v>5253</v>
      </c>
      <c r="C321" t="s">
        <v>58</v>
      </c>
      <c r="D321" t="s">
        <v>52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 x14ac:dyDescent="0.3">
      <c r="A322">
        <v>382</v>
      </c>
      <c r="B322">
        <v>5261</v>
      </c>
      <c r="C322" t="s">
        <v>89</v>
      </c>
      <c r="D322" t="s">
        <v>52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 x14ac:dyDescent="0.3">
      <c r="A323">
        <v>56</v>
      </c>
      <c r="B323">
        <v>5262</v>
      </c>
      <c r="C323" t="s">
        <v>60</v>
      </c>
      <c r="D323" t="s">
        <v>52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 x14ac:dyDescent="0.3">
      <c r="A324">
        <v>66</v>
      </c>
      <c r="B324">
        <v>5263</v>
      </c>
      <c r="C324" t="s">
        <v>62</v>
      </c>
      <c r="D324" t="s">
        <v>52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 x14ac:dyDescent="0.3">
      <c r="A325">
        <v>2</v>
      </c>
      <c r="B325">
        <v>5270</v>
      </c>
      <c r="C325" t="s">
        <v>51</v>
      </c>
      <c r="D325" t="s">
        <v>52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 x14ac:dyDescent="0.3">
      <c r="A326">
        <v>442</v>
      </c>
      <c r="B326">
        <v>5271</v>
      </c>
      <c r="C326" t="s">
        <v>93</v>
      </c>
      <c r="D326" t="s">
        <v>52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 x14ac:dyDescent="0.3">
      <c r="A327">
        <v>282</v>
      </c>
      <c r="B327">
        <v>5272</v>
      </c>
      <c r="C327" t="s">
        <v>80</v>
      </c>
      <c r="D327" t="s">
        <v>52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 x14ac:dyDescent="0.3">
      <c r="A328">
        <v>48</v>
      </c>
      <c r="B328">
        <v>5273</v>
      </c>
      <c r="C328" t="s">
        <v>57</v>
      </c>
      <c r="D328" t="s">
        <v>52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 x14ac:dyDescent="0.3">
      <c r="A329">
        <v>55</v>
      </c>
      <c r="B329">
        <v>5274</v>
      </c>
      <c r="C329" t="s">
        <v>59</v>
      </c>
      <c r="D329" t="s">
        <v>52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 x14ac:dyDescent="0.3">
      <c r="A330">
        <v>93</v>
      </c>
      <c r="B330">
        <v>5275</v>
      </c>
      <c r="C330" t="s">
        <v>65</v>
      </c>
      <c r="D330" t="s">
        <v>52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 x14ac:dyDescent="0.3">
      <c r="A331">
        <v>120</v>
      </c>
      <c r="B331">
        <v>5280</v>
      </c>
      <c r="C331" t="s">
        <v>68</v>
      </c>
      <c r="D331" t="s">
        <v>52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 x14ac:dyDescent="0.3">
      <c r="A332">
        <v>356</v>
      </c>
      <c r="B332">
        <v>5281</v>
      </c>
      <c r="C332" t="s">
        <v>87</v>
      </c>
      <c r="D332" t="s">
        <v>52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 x14ac:dyDescent="0.3">
      <c r="A333">
        <v>43</v>
      </c>
      <c r="B333">
        <v>5282</v>
      </c>
      <c r="C333" t="s">
        <v>56</v>
      </c>
      <c r="D333" t="s">
        <v>52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 x14ac:dyDescent="0.3">
      <c r="A334">
        <v>345</v>
      </c>
      <c r="B334">
        <v>5283</v>
      </c>
      <c r="C334" t="s">
        <v>84</v>
      </c>
      <c r="D334" t="s">
        <v>52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 x14ac:dyDescent="0.3">
      <c r="A335">
        <v>383</v>
      </c>
      <c r="B335">
        <v>5290</v>
      </c>
      <c r="C335" t="s">
        <v>90</v>
      </c>
      <c r="D335" t="s">
        <v>52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 x14ac:dyDescent="0.3">
      <c r="A336">
        <v>231</v>
      </c>
      <c r="B336">
        <v>5291</v>
      </c>
      <c r="C336" t="s">
        <v>75</v>
      </c>
      <c r="D336" t="s">
        <v>52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 x14ac:dyDescent="0.3">
      <c r="A337">
        <v>324</v>
      </c>
      <c r="B337">
        <v>5292</v>
      </c>
      <c r="C337" t="s">
        <v>82</v>
      </c>
      <c r="D337" t="s">
        <v>52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 x14ac:dyDescent="0.3">
      <c r="A338">
        <v>449</v>
      </c>
      <c r="B338">
        <v>5293</v>
      </c>
      <c r="C338" t="s">
        <v>94</v>
      </c>
      <c r="D338" t="s">
        <v>52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 x14ac:dyDescent="0.3">
      <c r="A339">
        <v>79</v>
      </c>
      <c r="B339">
        <v>5294</v>
      </c>
      <c r="C339" t="s">
        <v>64</v>
      </c>
      <c r="D339" t="s">
        <v>52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 x14ac:dyDescent="0.3">
      <c r="A340">
        <v>25</v>
      </c>
      <c r="B340">
        <v>5295</v>
      </c>
      <c r="C340" t="s">
        <v>54</v>
      </c>
      <c r="D340" t="s">
        <v>52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 x14ac:dyDescent="0.3">
      <c r="A341">
        <v>158</v>
      </c>
      <c r="B341">
        <v>5296</v>
      </c>
      <c r="C341" t="s">
        <v>73</v>
      </c>
      <c r="D341" t="s">
        <v>52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 x14ac:dyDescent="0.3">
      <c r="A342">
        <v>308</v>
      </c>
      <c r="B342">
        <v>5297</v>
      </c>
      <c r="C342" t="s">
        <v>81</v>
      </c>
      <c r="D342" t="s">
        <v>52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 x14ac:dyDescent="0.3">
      <c r="A343">
        <v>155</v>
      </c>
      <c r="B343">
        <v>6000</v>
      </c>
      <c r="C343" t="s">
        <v>171</v>
      </c>
      <c r="D343" t="s">
        <v>163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 x14ac:dyDescent="0.3">
      <c r="A344">
        <v>156</v>
      </c>
      <c r="B344">
        <v>6001</v>
      </c>
      <c r="C344" t="s">
        <v>172</v>
      </c>
      <c r="D344" t="s">
        <v>163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 x14ac:dyDescent="0.3">
      <c r="A345">
        <v>343</v>
      </c>
      <c r="B345">
        <v>6210</v>
      </c>
      <c r="C345" t="s">
        <v>185</v>
      </c>
      <c r="D345" t="s">
        <v>163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 x14ac:dyDescent="0.3">
      <c r="A346">
        <v>61</v>
      </c>
      <c r="B346">
        <v>6215</v>
      </c>
      <c r="C346" t="s">
        <v>166</v>
      </c>
      <c r="D346" t="s">
        <v>163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 x14ac:dyDescent="0.3">
      <c r="A347">
        <v>277</v>
      </c>
      <c r="B347">
        <v>6216</v>
      </c>
      <c r="C347" t="s">
        <v>180</v>
      </c>
      <c r="D347" t="s">
        <v>163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 x14ac:dyDescent="0.3">
      <c r="A348">
        <v>452</v>
      </c>
      <c r="B348">
        <v>6217</v>
      </c>
      <c r="C348" t="s">
        <v>189</v>
      </c>
      <c r="D348" t="s">
        <v>163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 x14ac:dyDescent="0.3">
      <c r="A349">
        <v>206</v>
      </c>
      <c r="B349">
        <v>6219</v>
      </c>
      <c r="C349" t="s">
        <v>174</v>
      </c>
      <c r="D349" t="s">
        <v>163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 x14ac:dyDescent="0.3">
      <c r="A350">
        <v>85</v>
      </c>
      <c r="B350">
        <v>6221</v>
      </c>
      <c r="C350" t="s">
        <v>167</v>
      </c>
      <c r="D350" t="s">
        <v>163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 x14ac:dyDescent="0.3">
      <c r="A351">
        <v>410</v>
      </c>
      <c r="B351">
        <v>6222</v>
      </c>
      <c r="C351" t="s">
        <v>188</v>
      </c>
      <c r="D351" t="s">
        <v>163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 x14ac:dyDescent="0.3">
      <c r="A352">
        <v>153</v>
      </c>
      <c r="B352">
        <v>6223</v>
      </c>
      <c r="C352" t="s">
        <v>170</v>
      </c>
      <c r="D352" t="s">
        <v>163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 x14ac:dyDescent="0.3">
      <c r="A353">
        <v>341</v>
      </c>
      <c r="B353">
        <v>6224</v>
      </c>
      <c r="C353" t="s">
        <v>184</v>
      </c>
      <c r="D353" t="s">
        <v>163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 x14ac:dyDescent="0.3">
      <c r="A354">
        <v>118</v>
      </c>
      <c r="B354">
        <v>6225</v>
      </c>
      <c r="C354" t="s">
        <v>405</v>
      </c>
      <c r="D354" t="s">
        <v>402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 x14ac:dyDescent="0.3">
      <c r="A355">
        <v>296</v>
      </c>
      <c r="B355">
        <v>6230</v>
      </c>
      <c r="C355" t="s">
        <v>414</v>
      </c>
      <c r="D355" t="s">
        <v>402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 x14ac:dyDescent="0.3">
      <c r="A356">
        <v>270</v>
      </c>
      <c r="B356">
        <v>6232</v>
      </c>
      <c r="C356" t="s">
        <v>413</v>
      </c>
      <c r="D356" t="s">
        <v>402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 x14ac:dyDescent="0.3">
      <c r="A357">
        <v>163</v>
      </c>
      <c r="B357">
        <v>6240</v>
      </c>
      <c r="C357" t="s">
        <v>173</v>
      </c>
      <c r="D357" t="s">
        <v>163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 x14ac:dyDescent="0.3">
      <c r="A358">
        <v>223</v>
      </c>
      <c r="B358">
        <v>6242</v>
      </c>
      <c r="C358" t="s">
        <v>176</v>
      </c>
      <c r="D358" t="s">
        <v>163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 x14ac:dyDescent="0.3">
      <c r="A359">
        <v>254</v>
      </c>
      <c r="B359">
        <v>6243</v>
      </c>
      <c r="C359" t="s">
        <v>177</v>
      </c>
      <c r="D359" t="s">
        <v>163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 x14ac:dyDescent="0.3">
      <c r="A360">
        <v>279</v>
      </c>
      <c r="B360">
        <v>6244</v>
      </c>
      <c r="C360" t="s">
        <v>181</v>
      </c>
      <c r="D360" t="s">
        <v>163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 x14ac:dyDescent="0.3">
      <c r="A361">
        <v>122</v>
      </c>
      <c r="B361">
        <v>6250</v>
      </c>
      <c r="C361" t="s">
        <v>406</v>
      </c>
      <c r="D361" t="s">
        <v>402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 x14ac:dyDescent="0.3">
      <c r="A362">
        <v>123</v>
      </c>
      <c r="B362">
        <v>6251</v>
      </c>
      <c r="C362" t="s">
        <v>407</v>
      </c>
      <c r="D362" t="s">
        <v>402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 x14ac:dyDescent="0.3">
      <c r="A363">
        <v>146</v>
      </c>
      <c r="B363">
        <v>6253</v>
      </c>
      <c r="C363" t="s">
        <v>409</v>
      </c>
      <c r="D363" t="s">
        <v>402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 x14ac:dyDescent="0.3">
      <c r="A364">
        <v>130</v>
      </c>
      <c r="B364">
        <v>6254</v>
      </c>
      <c r="C364" t="s">
        <v>408</v>
      </c>
      <c r="D364" t="s">
        <v>402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 x14ac:dyDescent="0.3">
      <c r="A365">
        <v>300</v>
      </c>
      <c r="B365">
        <v>6255</v>
      </c>
      <c r="C365" t="s">
        <v>415</v>
      </c>
      <c r="D365" t="s">
        <v>402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 x14ac:dyDescent="0.3">
      <c r="A366">
        <v>161</v>
      </c>
      <c r="B366">
        <v>6256</v>
      </c>
      <c r="C366" t="s">
        <v>410</v>
      </c>
      <c r="D366" t="s">
        <v>402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 x14ac:dyDescent="0.3">
      <c r="A367">
        <v>269</v>
      </c>
      <c r="B367">
        <v>6257</v>
      </c>
      <c r="C367" t="s">
        <v>412</v>
      </c>
      <c r="D367" t="s">
        <v>402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 x14ac:dyDescent="0.3">
      <c r="A368">
        <v>302</v>
      </c>
      <c r="B368">
        <v>6258</v>
      </c>
      <c r="C368" t="s">
        <v>416</v>
      </c>
      <c r="D368" t="s">
        <v>402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 x14ac:dyDescent="0.3">
      <c r="A369">
        <v>58</v>
      </c>
      <c r="B369">
        <v>6271</v>
      </c>
      <c r="C369" t="s">
        <v>165</v>
      </c>
      <c r="D369" t="s">
        <v>163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 x14ac:dyDescent="0.3">
      <c r="A370">
        <v>102</v>
      </c>
      <c r="B370">
        <v>6272</v>
      </c>
      <c r="C370" t="s">
        <v>168</v>
      </c>
      <c r="D370" t="s">
        <v>163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 x14ac:dyDescent="0.3">
      <c r="A371">
        <v>217</v>
      </c>
      <c r="B371">
        <v>6273</v>
      </c>
      <c r="C371" t="s">
        <v>175</v>
      </c>
      <c r="D371" t="s">
        <v>163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 x14ac:dyDescent="0.3">
      <c r="A372">
        <v>399</v>
      </c>
      <c r="B372">
        <v>6274</v>
      </c>
      <c r="C372" t="s">
        <v>187</v>
      </c>
      <c r="D372" t="s">
        <v>163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 x14ac:dyDescent="0.3">
      <c r="A373">
        <v>54</v>
      </c>
      <c r="B373">
        <v>6275</v>
      </c>
      <c r="C373" t="s">
        <v>164</v>
      </c>
      <c r="D373" t="s">
        <v>163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 x14ac:dyDescent="0.3">
      <c r="A374">
        <v>272</v>
      </c>
      <c r="B374">
        <v>6276</v>
      </c>
      <c r="C374" t="s">
        <v>179</v>
      </c>
      <c r="D374" t="s">
        <v>163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 x14ac:dyDescent="0.3">
      <c r="A375">
        <v>3</v>
      </c>
      <c r="B375">
        <v>6280</v>
      </c>
      <c r="C375" t="s">
        <v>162</v>
      </c>
      <c r="D375" t="s">
        <v>163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 x14ac:dyDescent="0.3">
      <c r="A376">
        <v>395</v>
      </c>
      <c r="B376">
        <v>6281</v>
      </c>
      <c r="C376" t="s">
        <v>186</v>
      </c>
      <c r="D376" t="s">
        <v>163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 x14ac:dyDescent="0.3">
      <c r="A377">
        <v>127</v>
      </c>
      <c r="B377">
        <v>6310</v>
      </c>
      <c r="C377" t="s">
        <v>169</v>
      </c>
      <c r="D377" t="s">
        <v>163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 x14ac:dyDescent="0.3">
      <c r="A378">
        <v>295</v>
      </c>
      <c r="B378">
        <v>6320</v>
      </c>
      <c r="C378" t="s">
        <v>182</v>
      </c>
      <c r="D378" t="s">
        <v>163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 x14ac:dyDescent="0.3">
      <c r="A379">
        <v>267</v>
      </c>
      <c r="B379">
        <v>6330</v>
      </c>
      <c r="C379" t="s">
        <v>178</v>
      </c>
      <c r="D379" t="s">
        <v>163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 x14ac:dyDescent="0.3">
      <c r="A380">
        <v>336</v>
      </c>
      <c r="B380">
        <v>6333</v>
      </c>
      <c r="C380" t="s">
        <v>183</v>
      </c>
      <c r="D380" t="s">
        <v>163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 x14ac:dyDescent="0.3">
      <c r="A381">
        <v>252</v>
      </c>
      <c r="B381">
        <v>8000</v>
      </c>
      <c r="C381" t="s">
        <v>117</v>
      </c>
      <c r="D381" t="s">
        <v>96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 x14ac:dyDescent="0.3">
      <c r="A382">
        <v>253</v>
      </c>
      <c r="B382">
        <v>8001</v>
      </c>
      <c r="C382" t="s">
        <v>118</v>
      </c>
      <c r="D382" t="s">
        <v>96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 x14ac:dyDescent="0.3">
      <c r="A383">
        <v>420</v>
      </c>
      <c r="B383">
        <v>8210</v>
      </c>
      <c r="C383" t="s">
        <v>136</v>
      </c>
      <c r="D383" t="s">
        <v>96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 x14ac:dyDescent="0.3">
      <c r="A384">
        <v>68</v>
      </c>
      <c r="B384">
        <v>8211</v>
      </c>
      <c r="C384" t="s">
        <v>100</v>
      </c>
      <c r="D384" t="s">
        <v>96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 x14ac:dyDescent="0.3">
      <c r="A385">
        <v>433</v>
      </c>
      <c r="B385">
        <v>8212</v>
      </c>
      <c r="C385" t="s">
        <v>138</v>
      </c>
      <c r="D385" t="s">
        <v>96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 x14ac:dyDescent="0.3">
      <c r="A386">
        <v>437</v>
      </c>
      <c r="B386">
        <v>8213</v>
      </c>
      <c r="C386" t="s">
        <v>139</v>
      </c>
      <c r="D386" t="s">
        <v>96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 x14ac:dyDescent="0.3">
      <c r="A387">
        <v>233</v>
      </c>
      <c r="B387">
        <v>8216</v>
      </c>
      <c r="C387" t="s">
        <v>115</v>
      </c>
      <c r="D387" t="s">
        <v>96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 x14ac:dyDescent="0.3">
      <c r="A388">
        <v>402</v>
      </c>
      <c r="B388">
        <v>8220</v>
      </c>
      <c r="C388" t="s">
        <v>134</v>
      </c>
      <c r="D388" t="s">
        <v>96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 x14ac:dyDescent="0.3">
      <c r="A389">
        <v>261</v>
      </c>
      <c r="B389">
        <v>8222</v>
      </c>
      <c r="C389" t="s">
        <v>121</v>
      </c>
      <c r="D389" t="s">
        <v>96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 x14ac:dyDescent="0.3">
      <c r="A390">
        <v>236</v>
      </c>
      <c r="B390">
        <v>8230</v>
      </c>
      <c r="C390" t="s">
        <v>116</v>
      </c>
      <c r="D390" t="s">
        <v>96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 x14ac:dyDescent="0.3">
      <c r="A391">
        <v>419</v>
      </c>
      <c r="B391">
        <v>8231</v>
      </c>
      <c r="C391" t="s">
        <v>135</v>
      </c>
      <c r="D391" t="s">
        <v>96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 x14ac:dyDescent="0.3">
      <c r="A392">
        <v>392</v>
      </c>
      <c r="B392">
        <v>8232</v>
      </c>
      <c r="C392" t="s">
        <v>132</v>
      </c>
      <c r="D392" t="s">
        <v>96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 x14ac:dyDescent="0.3">
      <c r="A393">
        <v>232</v>
      </c>
      <c r="B393">
        <v>8233</v>
      </c>
      <c r="C393" t="s">
        <v>114</v>
      </c>
      <c r="D393" t="s">
        <v>96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 x14ac:dyDescent="0.3">
      <c r="A394">
        <v>32</v>
      </c>
      <c r="B394">
        <v>8250</v>
      </c>
      <c r="C394" t="s">
        <v>376</v>
      </c>
      <c r="D394" t="s">
        <v>371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 x14ac:dyDescent="0.3">
      <c r="A395">
        <v>49</v>
      </c>
      <c r="B395">
        <v>8251</v>
      </c>
      <c r="C395" t="s">
        <v>378</v>
      </c>
      <c r="D395" t="s">
        <v>371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 x14ac:dyDescent="0.3">
      <c r="A396">
        <v>5</v>
      </c>
      <c r="B396">
        <v>8253</v>
      </c>
      <c r="C396" t="s">
        <v>370</v>
      </c>
      <c r="D396" t="s">
        <v>371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 x14ac:dyDescent="0.3">
      <c r="A397">
        <v>92</v>
      </c>
      <c r="B397">
        <v>8254</v>
      </c>
      <c r="C397" t="s">
        <v>380</v>
      </c>
      <c r="D397" t="s">
        <v>371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 x14ac:dyDescent="0.3">
      <c r="A398">
        <v>268</v>
      </c>
      <c r="B398">
        <v>8255</v>
      </c>
      <c r="C398" t="s">
        <v>389</v>
      </c>
      <c r="D398" t="s">
        <v>371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 x14ac:dyDescent="0.3">
      <c r="A399">
        <v>361</v>
      </c>
      <c r="B399">
        <v>8256</v>
      </c>
      <c r="C399" t="s">
        <v>394</v>
      </c>
      <c r="D399" t="s">
        <v>371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 x14ac:dyDescent="0.3">
      <c r="A400">
        <v>64</v>
      </c>
      <c r="B400">
        <v>8257</v>
      </c>
      <c r="C400" t="s">
        <v>379</v>
      </c>
      <c r="D400" t="s">
        <v>371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 x14ac:dyDescent="0.3">
      <c r="A401">
        <v>142</v>
      </c>
      <c r="B401">
        <v>8258</v>
      </c>
      <c r="C401" t="s">
        <v>382</v>
      </c>
      <c r="D401" t="s">
        <v>371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 x14ac:dyDescent="0.3">
      <c r="A402">
        <v>12</v>
      </c>
      <c r="B402">
        <v>8259</v>
      </c>
      <c r="C402" t="s">
        <v>372</v>
      </c>
      <c r="D402" t="s">
        <v>371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 x14ac:dyDescent="0.3">
      <c r="A403">
        <v>132</v>
      </c>
      <c r="B403">
        <v>8261</v>
      </c>
      <c r="C403" t="s">
        <v>381</v>
      </c>
      <c r="D403" t="s">
        <v>371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 x14ac:dyDescent="0.3">
      <c r="A404">
        <v>175</v>
      </c>
      <c r="B404">
        <v>8262</v>
      </c>
      <c r="C404" t="s">
        <v>385</v>
      </c>
      <c r="D404" t="s">
        <v>371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 x14ac:dyDescent="0.3">
      <c r="A405">
        <v>41</v>
      </c>
      <c r="B405">
        <v>8263</v>
      </c>
      <c r="C405" t="s">
        <v>377</v>
      </c>
      <c r="D405" t="s">
        <v>371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 x14ac:dyDescent="0.3">
      <c r="A406">
        <v>176</v>
      </c>
      <c r="B406">
        <v>8270</v>
      </c>
      <c r="C406" t="s">
        <v>386</v>
      </c>
      <c r="D406" t="s">
        <v>371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 x14ac:dyDescent="0.3">
      <c r="A407">
        <v>460</v>
      </c>
      <c r="B407">
        <v>8272</v>
      </c>
      <c r="C407" t="s">
        <v>399</v>
      </c>
      <c r="D407" t="s">
        <v>371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 x14ac:dyDescent="0.3">
      <c r="A408">
        <v>185</v>
      </c>
      <c r="B408">
        <v>8273</v>
      </c>
      <c r="C408" t="s">
        <v>387</v>
      </c>
      <c r="D408" t="s">
        <v>371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 x14ac:dyDescent="0.3">
      <c r="A409">
        <v>318</v>
      </c>
      <c r="B409">
        <v>8274</v>
      </c>
      <c r="C409" t="s">
        <v>391</v>
      </c>
      <c r="D409" t="s">
        <v>371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 x14ac:dyDescent="0.3">
      <c r="A410">
        <v>394</v>
      </c>
      <c r="B410">
        <v>8275</v>
      </c>
      <c r="C410" t="s">
        <v>133</v>
      </c>
      <c r="D410" t="s">
        <v>96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 x14ac:dyDescent="0.3">
      <c r="A411">
        <v>36</v>
      </c>
      <c r="B411">
        <v>8276</v>
      </c>
      <c r="C411" t="s">
        <v>98</v>
      </c>
      <c r="D411" t="s">
        <v>96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 x14ac:dyDescent="0.3">
      <c r="A412">
        <v>28</v>
      </c>
      <c r="B412">
        <v>8280</v>
      </c>
      <c r="C412" t="s">
        <v>375</v>
      </c>
      <c r="D412" t="s">
        <v>371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 x14ac:dyDescent="0.3">
      <c r="A413">
        <v>340</v>
      </c>
      <c r="B413">
        <v>8281</v>
      </c>
      <c r="C413" t="s">
        <v>392</v>
      </c>
      <c r="D413" t="s">
        <v>371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 x14ac:dyDescent="0.3">
      <c r="A414">
        <v>157</v>
      </c>
      <c r="B414">
        <v>8282</v>
      </c>
      <c r="C414" t="s">
        <v>383</v>
      </c>
      <c r="D414" t="s">
        <v>371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 x14ac:dyDescent="0.3">
      <c r="A415">
        <v>14</v>
      </c>
      <c r="B415">
        <v>8283</v>
      </c>
      <c r="C415" t="s">
        <v>373</v>
      </c>
      <c r="D415" t="s">
        <v>371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 x14ac:dyDescent="0.3">
      <c r="A416">
        <v>342</v>
      </c>
      <c r="B416">
        <v>8290</v>
      </c>
      <c r="C416" t="s">
        <v>393</v>
      </c>
      <c r="D416" t="s">
        <v>371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 x14ac:dyDescent="0.3">
      <c r="A417">
        <v>456</v>
      </c>
      <c r="B417">
        <v>8292</v>
      </c>
      <c r="C417" t="s">
        <v>398</v>
      </c>
      <c r="D417" t="s">
        <v>371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 x14ac:dyDescent="0.3">
      <c r="A418">
        <v>373</v>
      </c>
      <c r="B418">
        <v>8293</v>
      </c>
      <c r="C418" t="s">
        <v>395</v>
      </c>
      <c r="D418" t="s">
        <v>371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 x14ac:dyDescent="0.3">
      <c r="A419">
        <v>23</v>
      </c>
      <c r="B419">
        <v>8294</v>
      </c>
      <c r="C419" t="s">
        <v>374</v>
      </c>
      <c r="D419" t="s">
        <v>371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 x14ac:dyDescent="0.3">
      <c r="A420">
        <v>426</v>
      </c>
      <c r="B420">
        <v>8295</v>
      </c>
      <c r="C420" t="s">
        <v>397</v>
      </c>
      <c r="D420" t="s">
        <v>371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 x14ac:dyDescent="0.3">
      <c r="A421">
        <v>173</v>
      </c>
      <c r="B421">
        <v>8296</v>
      </c>
      <c r="C421" t="s">
        <v>384</v>
      </c>
      <c r="D421" t="s">
        <v>371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 x14ac:dyDescent="0.3">
      <c r="A422">
        <v>387</v>
      </c>
      <c r="B422">
        <v>8297</v>
      </c>
      <c r="C422" t="s">
        <v>396</v>
      </c>
      <c r="D422" t="s">
        <v>371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 x14ac:dyDescent="0.3">
      <c r="A423">
        <v>389</v>
      </c>
      <c r="B423">
        <v>8310</v>
      </c>
      <c r="C423" t="s">
        <v>131</v>
      </c>
      <c r="D423" t="s">
        <v>96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 x14ac:dyDescent="0.3">
      <c r="A424">
        <v>159</v>
      </c>
      <c r="B424">
        <v>8311</v>
      </c>
      <c r="C424" t="s">
        <v>110</v>
      </c>
      <c r="D424" t="s">
        <v>96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 x14ac:dyDescent="0.3">
      <c r="A425">
        <v>273</v>
      </c>
      <c r="B425">
        <v>8312</v>
      </c>
      <c r="C425" t="s">
        <v>122</v>
      </c>
      <c r="D425" t="s">
        <v>96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 x14ac:dyDescent="0.3">
      <c r="A426">
        <v>34</v>
      </c>
      <c r="B426">
        <v>8321</v>
      </c>
      <c r="C426" t="s">
        <v>97</v>
      </c>
      <c r="D426" t="s">
        <v>96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 x14ac:dyDescent="0.3">
      <c r="A427">
        <v>369</v>
      </c>
      <c r="B427">
        <v>8322</v>
      </c>
      <c r="C427" t="s">
        <v>128</v>
      </c>
      <c r="D427" t="s">
        <v>96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 x14ac:dyDescent="0.3">
      <c r="A428">
        <v>429</v>
      </c>
      <c r="B428">
        <v>8323</v>
      </c>
      <c r="C428" t="s">
        <v>137</v>
      </c>
      <c r="D428" t="s">
        <v>96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 x14ac:dyDescent="0.3">
      <c r="A429">
        <v>227</v>
      </c>
      <c r="B429">
        <v>8330</v>
      </c>
      <c r="C429" t="s">
        <v>113</v>
      </c>
      <c r="D429" t="s">
        <v>96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 x14ac:dyDescent="0.3">
      <c r="A430">
        <v>374</v>
      </c>
      <c r="B430">
        <v>8331</v>
      </c>
      <c r="C430" t="s">
        <v>130</v>
      </c>
      <c r="D430" t="s">
        <v>96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 x14ac:dyDescent="0.3">
      <c r="A431">
        <v>104</v>
      </c>
      <c r="B431">
        <v>8332</v>
      </c>
      <c r="C431" t="s">
        <v>106</v>
      </c>
      <c r="D431" t="s">
        <v>96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 x14ac:dyDescent="0.3">
      <c r="A432">
        <v>339</v>
      </c>
      <c r="B432">
        <v>8333</v>
      </c>
      <c r="C432" t="s">
        <v>124</v>
      </c>
      <c r="D432" t="s">
        <v>96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 x14ac:dyDescent="0.3">
      <c r="A433">
        <v>57</v>
      </c>
      <c r="B433">
        <v>8340</v>
      </c>
      <c r="C433" t="s">
        <v>99</v>
      </c>
      <c r="D433" t="s">
        <v>96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 x14ac:dyDescent="0.3">
      <c r="A434">
        <v>1</v>
      </c>
      <c r="B434">
        <v>8341</v>
      </c>
      <c r="C434" t="s">
        <v>95</v>
      </c>
      <c r="D434" t="s">
        <v>96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 x14ac:dyDescent="0.3">
      <c r="A435">
        <v>365</v>
      </c>
      <c r="B435">
        <v>8342</v>
      </c>
      <c r="C435" t="s">
        <v>127</v>
      </c>
      <c r="D435" t="s">
        <v>96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 x14ac:dyDescent="0.3">
      <c r="A436">
        <v>81</v>
      </c>
      <c r="B436">
        <v>8343</v>
      </c>
      <c r="C436" t="s">
        <v>104</v>
      </c>
      <c r="D436" t="s">
        <v>96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 x14ac:dyDescent="0.3">
      <c r="A437">
        <v>441</v>
      </c>
      <c r="B437">
        <v>8344</v>
      </c>
      <c r="C437" t="s">
        <v>140</v>
      </c>
      <c r="D437" t="s">
        <v>96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 x14ac:dyDescent="0.3">
      <c r="A438">
        <v>76</v>
      </c>
      <c r="B438">
        <v>8350</v>
      </c>
      <c r="C438" t="s">
        <v>102</v>
      </c>
      <c r="D438" t="s">
        <v>96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 x14ac:dyDescent="0.3">
      <c r="A439">
        <v>371</v>
      </c>
      <c r="B439">
        <v>8351</v>
      </c>
      <c r="C439" t="s">
        <v>129</v>
      </c>
      <c r="D439" t="s">
        <v>96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 x14ac:dyDescent="0.3">
      <c r="A440">
        <v>478</v>
      </c>
      <c r="B440">
        <v>8360</v>
      </c>
      <c r="C440" t="s">
        <v>141</v>
      </c>
      <c r="D440" t="s">
        <v>96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 x14ac:dyDescent="0.3">
      <c r="A441">
        <v>86</v>
      </c>
      <c r="B441">
        <v>8361</v>
      </c>
      <c r="C441" t="s">
        <v>105</v>
      </c>
      <c r="D441" t="s">
        <v>96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 x14ac:dyDescent="0.3">
      <c r="A442">
        <v>112</v>
      </c>
      <c r="B442">
        <v>8362</v>
      </c>
      <c r="C442" t="s">
        <v>107</v>
      </c>
      <c r="D442" t="s">
        <v>96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 x14ac:dyDescent="0.3">
      <c r="A443">
        <v>242</v>
      </c>
      <c r="B443">
        <v>9000</v>
      </c>
      <c r="C443" t="s">
        <v>354</v>
      </c>
      <c r="D443" t="s">
        <v>333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 x14ac:dyDescent="0.3">
      <c r="A444">
        <v>243</v>
      </c>
      <c r="B444">
        <v>9001</v>
      </c>
      <c r="C444" t="s">
        <v>355</v>
      </c>
      <c r="D444" t="s">
        <v>333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 x14ac:dyDescent="0.3">
      <c r="A445">
        <v>311</v>
      </c>
      <c r="B445">
        <v>9201</v>
      </c>
      <c r="C445" t="s">
        <v>359</v>
      </c>
      <c r="D445" t="s">
        <v>333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 x14ac:dyDescent="0.3">
      <c r="A446">
        <v>212</v>
      </c>
      <c r="B446">
        <v>9202</v>
      </c>
      <c r="C446" t="s">
        <v>350</v>
      </c>
      <c r="D446" t="s">
        <v>333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 x14ac:dyDescent="0.3">
      <c r="A447">
        <v>265</v>
      </c>
      <c r="B447">
        <v>9203</v>
      </c>
      <c r="C447" t="s">
        <v>357</v>
      </c>
      <c r="D447" t="s">
        <v>333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 x14ac:dyDescent="0.3">
      <c r="A448">
        <v>381</v>
      </c>
      <c r="B448">
        <v>9204</v>
      </c>
      <c r="C448" t="s">
        <v>365</v>
      </c>
      <c r="D448" t="s">
        <v>333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 x14ac:dyDescent="0.3">
      <c r="A449">
        <v>114</v>
      </c>
      <c r="B449">
        <v>9205</v>
      </c>
      <c r="C449" t="s">
        <v>343</v>
      </c>
      <c r="D449" t="s">
        <v>333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 x14ac:dyDescent="0.3">
      <c r="A450">
        <v>170</v>
      </c>
      <c r="B450">
        <v>9206</v>
      </c>
      <c r="C450" t="s">
        <v>345</v>
      </c>
      <c r="D450" t="s">
        <v>333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 x14ac:dyDescent="0.3">
      <c r="A451">
        <v>307</v>
      </c>
      <c r="B451">
        <v>9207</v>
      </c>
      <c r="C451" t="s">
        <v>358</v>
      </c>
      <c r="D451" t="s">
        <v>333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 x14ac:dyDescent="0.3">
      <c r="A452">
        <v>88</v>
      </c>
      <c r="B452">
        <v>9208</v>
      </c>
      <c r="C452" t="s">
        <v>340</v>
      </c>
      <c r="D452" t="s">
        <v>333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 x14ac:dyDescent="0.3">
      <c r="A453">
        <v>182</v>
      </c>
      <c r="B453">
        <v>9220</v>
      </c>
      <c r="C453" t="s">
        <v>348</v>
      </c>
      <c r="D453" t="s">
        <v>333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 x14ac:dyDescent="0.3">
      <c r="A454">
        <v>222</v>
      </c>
      <c r="B454">
        <v>9221</v>
      </c>
      <c r="C454" t="s">
        <v>352</v>
      </c>
      <c r="D454" t="s">
        <v>333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 x14ac:dyDescent="0.3">
      <c r="A455">
        <v>18</v>
      </c>
      <c r="B455">
        <v>9222</v>
      </c>
      <c r="C455" t="s">
        <v>336</v>
      </c>
      <c r="D455" t="s">
        <v>333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 x14ac:dyDescent="0.3">
      <c r="A456">
        <v>70</v>
      </c>
      <c r="B456">
        <v>9223</v>
      </c>
      <c r="C456" t="s">
        <v>339</v>
      </c>
      <c r="D456" t="s">
        <v>333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 x14ac:dyDescent="0.3">
      <c r="A457">
        <v>428</v>
      </c>
      <c r="B457">
        <v>9224</v>
      </c>
      <c r="C457" t="s">
        <v>367</v>
      </c>
      <c r="D457" t="s">
        <v>333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 x14ac:dyDescent="0.3">
      <c r="A458">
        <v>435</v>
      </c>
      <c r="B458">
        <v>9225</v>
      </c>
      <c r="C458" t="s">
        <v>368</v>
      </c>
      <c r="D458" t="s">
        <v>333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 x14ac:dyDescent="0.3">
      <c r="A459">
        <v>238</v>
      </c>
      <c r="B459">
        <v>9226</v>
      </c>
      <c r="C459" t="s">
        <v>353</v>
      </c>
      <c r="D459" t="s">
        <v>333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 x14ac:dyDescent="0.3">
      <c r="A460">
        <v>148</v>
      </c>
      <c r="B460">
        <v>9227</v>
      </c>
      <c r="C460" t="s">
        <v>344</v>
      </c>
      <c r="D460" t="s">
        <v>333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 x14ac:dyDescent="0.3">
      <c r="A461">
        <v>8</v>
      </c>
      <c r="B461">
        <v>9231</v>
      </c>
      <c r="C461" t="s">
        <v>334</v>
      </c>
      <c r="D461" t="s">
        <v>333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 x14ac:dyDescent="0.3">
      <c r="A462">
        <v>52</v>
      </c>
      <c r="B462">
        <v>9232</v>
      </c>
      <c r="C462" t="s">
        <v>338</v>
      </c>
      <c r="D462" t="s">
        <v>333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 x14ac:dyDescent="0.3">
      <c r="A463">
        <v>255</v>
      </c>
      <c r="B463">
        <v>9233</v>
      </c>
      <c r="C463" t="s">
        <v>356</v>
      </c>
      <c r="D463" t="s">
        <v>333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 x14ac:dyDescent="0.3">
      <c r="A464">
        <v>199</v>
      </c>
      <c r="B464">
        <v>9240</v>
      </c>
      <c r="C464" t="s">
        <v>349</v>
      </c>
      <c r="D464" t="s">
        <v>333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 x14ac:dyDescent="0.3">
      <c r="A465">
        <v>438</v>
      </c>
      <c r="B465">
        <v>9241</v>
      </c>
      <c r="C465" t="s">
        <v>369</v>
      </c>
      <c r="D465" t="s">
        <v>333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 x14ac:dyDescent="0.3">
      <c r="A466">
        <v>171</v>
      </c>
      <c r="B466">
        <v>9242</v>
      </c>
      <c r="C466" t="s">
        <v>346</v>
      </c>
      <c r="D466" t="s">
        <v>333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 x14ac:dyDescent="0.3">
      <c r="A467">
        <v>215</v>
      </c>
      <c r="B467">
        <v>9243</v>
      </c>
      <c r="C467" t="s">
        <v>351</v>
      </c>
      <c r="D467" t="s">
        <v>333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 x14ac:dyDescent="0.3">
      <c r="A468">
        <v>378</v>
      </c>
      <c r="B468">
        <v>9244</v>
      </c>
      <c r="C468" t="s">
        <v>364</v>
      </c>
      <c r="D468" t="s">
        <v>333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 x14ac:dyDescent="0.3">
      <c r="A469">
        <v>358</v>
      </c>
      <c r="B469">
        <v>9245</v>
      </c>
      <c r="C469" t="s">
        <v>363</v>
      </c>
      <c r="D469" t="s">
        <v>333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 x14ac:dyDescent="0.3">
      <c r="A470">
        <v>322</v>
      </c>
      <c r="B470">
        <v>9246</v>
      </c>
      <c r="C470" t="s">
        <v>361</v>
      </c>
      <c r="D470" t="s">
        <v>333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 x14ac:dyDescent="0.3">
      <c r="A471">
        <v>99</v>
      </c>
      <c r="B471">
        <v>9250</v>
      </c>
      <c r="C471" t="s">
        <v>341</v>
      </c>
      <c r="D471" t="s">
        <v>333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 x14ac:dyDescent="0.3">
      <c r="A472">
        <v>414</v>
      </c>
      <c r="B472">
        <v>9251</v>
      </c>
      <c r="C472" t="s">
        <v>366</v>
      </c>
      <c r="D472" t="s">
        <v>333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 x14ac:dyDescent="0.3">
      <c r="A473">
        <v>314</v>
      </c>
      <c r="B473">
        <v>9252</v>
      </c>
      <c r="C473" t="s">
        <v>360</v>
      </c>
      <c r="D473" t="s">
        <v>333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 x14ac:dyDescent="0.3">
      <c r="A474">
        <v>4</v>
      </c>
      <c r="B474">
        <v>9253</v>
      </c>
      <c r="C474" t="s">
        <v>332</v>
      </c>
      <c r="D474" t="s">
        <v>333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 x14ac:dyDescent="0.3">
      <c r="A475">
        <v>37</v>
      </c>
      <c r="B475">
        <v>9261</v>
      </c>
      <c r="C475" t="s">
        <v>337</v>
      </c>
      <c r="D475" t="s">
        <v>333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 x14ac:dyDescent="0.3">
      <c r="A476">
        <v>331</v>
      </c>
      <c r="B476">
        <v>9262</v>
      </c>
      <c r="C476" t="s">
        <v>362</v>
      </c>
      <c r="D476" t="s">
        <v>333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 x14ac:dyDescent="0.3">
      <c r="A477">
        <v>177</v>
      </c>
      <c r="B477">
        <v>9263</v>
      </c>
      <c r="C477" t="s">
        <v>347</v>
      </c>
      <c r="D477" t="s">
        <v>333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 x14ac:dyDescent="0.3">
      <c r="A478">
        <v>103</v>
      </c>
      <c r="B478">
        <v>9264</v>
      </c>
      <c r="C478" t="s">
        <v>342</v>
      </c>
      <c r="D478" t="s">
        <v>333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 x14ac:dyDescent="0.3">
      <c r="A479">
        <v>17</v>
      </c>
      <c r="B479">
        <v>9265</v>
      </c>
      <c r="C479" t="s">
        <v>335</v>
      </c>
      <c r="D479" t="s">
        <v>333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 x14ac:dyDescent="0.3">
      <c r="A480">
        <v>480</v>
      </c>
      <c r="B480">
        <v>9991</v>
      </c>
      <c r="C480" t="s">
        <v>485</v>
      </c>
      <c r="D480" t="s">
        <v>486</v>
      </c>
      <c r="E480" t="e">
        <f>_xlfn.XLOOKUP(D480,Regije!B:B,Regije!A:A)</f>
        <v>#N/A</v>
      </c>
      <c r="F480" t="e">
        <f t="shared" si="7"/>
        <v>#N/A</v>
      </c>
    </row>
    <row r="481" spans="1:6" x14ac:dyDescent="0.3">
      <c r="A481">
        <v>481</v>
      </c>
      <c r="B481">
        <v>9992</v>
      </c>
      <c r="C481" t="s">
        <v>487</v>
      </c>
      <c r="D481" t="s">
        <v>486</v>
      </c>
      <c r="E481" t="e">
        <f>_xlfn.XLOOKUP(D481,Regije!B:B,Regije!A:A)</f>
        <v>#N/A</v>
      </c>
      <c r="F481" t="e">
        <f t="shared" si="7"/>
        <v>#N/A</v>
      </c>
    </row>
    <row r="482" spans="1:6" x14ac:dyDescent="0.3">
      <c r="A482">
        <v>482</v>
      </c>
      <c r="B482">
        <v>9993</v>
      </c>
      <c r="C482" t="s">
        <v>488</v>
      </c>
      <c r="D482" t="s">
        <v>486</v>
      </c>
      <c r="E482" t="e">
        <f>_xlfn.XLOOKUP(D482,Regije!B:B,Regije!A:A)</f>
        <v>#N/A</v>
      </c>
      <c r="F482" t="e">
        <f t="shared" si="7"/>
        <v>#N/A</v>
      </c>
    </row>
    <row r="483" spans="1:6" x14ac:dyDescent="0.3">
      <c r="A483">
        <v>483</v>
      </c>
      <c r="B483">
        <v>9994</v>
      </c>
      <c r="C483" t="s">
        <v>489</v>
      </c>
      <c r="D483" t="s">
        <v>486</v>
      </c>
      <c r="E483" t="e">
        <f>_xlfn.XLOOKUP(D483,Regije!B:B,Regije!A:A)</f>
        <v>#N/A</v>
      </c>
      <c r="F483" t="e">
        <f t="shared" si="7"/>
        <v>#N/A</v>
      </c>
    </row>
    <row r="484" spans="1:6" x14ac:dyDescent="0.3">
      <c r="A484">
        <v>479</v>
      </c>
      <c r="B484">
        <v>9999</v>
      </c>
      <c r="C484" t="s">
        <v>483</v>
      </c>
      <c r="D484" t="s">
        <v>484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" x14ac:dyDescent="0.3"/>
  <cols>
    <col min="5" max="5" width="18.6640625" bestFit="1" customWidth="1"/>
  </cols>
  <sheetData>
    <row r="1" spans="1:6" x14ac:dyDescent="0.3">
      <c r="A1" t="s">
        <v>0</v>
      </c>
      <c r="B1" t="s">
        <v>2</v>
      </c>
      <c r="E1" t="s">
        <v>500</v>
      </c>
      <c r="F1" t="s">
        <v>501</v>
      </c>
    </row>
    <row r="2" spans="1:6" x14ac:dyDescent="0.3">
      <c r="A2">
        <v>9</v>
      </c>
      <c r="B2" t="s">
        <v>6</v>
      </c>
      <c r="E2" t="s">
        <v>6</v>
      </c>
      <c r="F2">
        <v>45</v>
      </c>
    </row>
    <row r="3" spans="1:6" x14ac:dyDescent="0.3">
      <c r="A3">
        <v>11</v>
      </c>
      <c r="B3" t="s">
        <v>52</v>
      </c>
      <c r="E3" t="s">
        <v>52</v>
      </c>
      <c r="F3">
        <v>43</v>
      </c>
    </row>
    <row r="4" spans="1:6" x14ac:dyDescent="0.3">
      <c r="A4">
        <v>7</v>
      </c>
      <c r="B4" t="s">
        <v>96</v>
      </c>
      <c r="E4" t="s">
        <v>96</v>
      </c>
      <c r="F4">
        <v>47</v>
      </c>
    </row>
    <row r="5" spans="1:6" x14ac:dyDescent="0.3">
      <c r="A5">
        <v>3</v>
      </c>
      <c r="B5" t="s">
        <v>143</v>
      </c>
      <c r="E5" t="s">
        <v>143</v>
      </c>
      <c r="F5">
        <v>19</v>
      </c>
    </row>
    <row r="6" spans="1:6" x14ac:dyDescent="0.3">
      <c r="A6">
        <v>12</v>
      </c>
      <c r="B6" t="s">
        <v>163</v>
      </c>
      <c r="E6" t="s">
        <v>163</v>
      </c>
      <c r="F6">
        <v>27</v>
      </c>
    </row>
    <row r="7" spans="1:6" x14ac:dyDescent="0.3">
      <c r="A7">
        <v>8</v>
      </c>
      <c r="B7" t="s">
        <v>191</v>
      </c>
      <c r="E7" t="s">
        <v>191</v>
      </c>
      <c r="F7">
        <v>61</v>
      </c>
    </row>
    <row r="8" spans="1:6" x14ac:dyDescent="0.3">
      <c r="A8">
        <v>2</v>
      </c>
      <c r="B8" t="s">
        <v>253</v>
      </c>
      <c r="E8" t="s">
        <v>253</v>
      </c>
      <c r="F8">
        <v>79</v>
      </c>
    </row>
    <row r="9" spans="1:6" x14ac:dyDescent="0.3">
      <c r="A9">
        <v>1</v>
      </c>
      <c r="B9" t="s">
        <v>333</v>
      </c>
      <c r="E9" t="s">
        <v>333</v>
      </c>
      <c r="F9">
        <v>37</v>
      </c>
    </row>
    <row r="10" spans="1:6" x14ac:dyDescent="0.3">
      <c r="A10">
        <v>6</v>
      </c>
      <c r="B10" t="s">
        <v>371</v>
      </c>
      <c r="E10" t="s">
        <v>371</v>
      </c>
      <c r="F10">
        <v>30</v>
      </c>
    </row>
    <row r="11" spans="1:6" x14ac:dyDescent="0.3">
      <c r="A11">
        <v>10</v>
      </c>
      <c r="B11" t="s">
        <v>402</v>
      </c>
      <c r="E11" t="s">
        <v>402</v>
      </c>
      <c r="F11">
        <v>17</v>
      </c>
    </row>
    <row r="12" spans="1:6" x14ac:dyDescent="0.3">
      <c r="A12">
        <v>4</v>
      </c>
      <c r="B12" t="s">
        <v>420</v>
      </c>
      <c r="E12" t="s">
        <v>420</v>
      </c>
      <c r="F12">
        <v>64</v>
      </c>
    </row>
    <row r="13" spans="1:6" x14ac:dyDescent="0.3">
      <c r="A13">
        <v>5</v>
      </c>
      <c r="B13" t="s">
        <v>491</v>
      </c>
      <c r="E13" t="s">
        <v>491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Analize</vt:lpstr>
      <vt:lpstr>Centili</vt:lpstr>
      <vt:lpstr>Cone</vt:lpstr>
      <vt:lpstr>Pošte</vt:lpstr>
      <vt:lpstr>Regije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>Leskošek, Bojan</cp:lastModifiedBy>
  <cp:revision/>
  <dcterms:created xsi:type="dcterms:W3CDTF">2026-04-01T17:34:01Z</dcterms:created>
  <dcterms:modified xsi:type="dcterms:W3CDTF">2026-04-02T17:27:43Z</dcterms:modified>
  <cp:category/>
  <cp:contentStatus/>
</cp:coreProperties>
</file>