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ojan\Documents\GitHub\ReportOKS\"/>
    </mc:Choice>
  </mc:AlternateContent>
  <xr:revisionPtr revIDLastSave="0" documentId="13_ncr:1_{F970041D-47F6-466D-83D1-51CD7E8B0E7C}" xr6:coauthVersionLast="47" xr6:coauthVersionMax="47" xr10:uidLastSave="{00000000-0000-0000-0000-000000000000}"/>
  <bookViews>
    <workbookView xWindow="-108" yWindow="-108" windowWidth="23256" windowHeight="12456" activeTab="5" xr2:uid="{8F13620D-0B35-4D77-9205-B40C0C733A79}"/>
  </bookViews>
  <sheets>
    <sheet name="Analize" sheetId="4" r:id="rId1"/>
    <sheet name="Centili" sheetId="6" r:id="rId2"/>
    <sheet name="Cone" sheetId="7" r:id="rId3"/>
    <sheet name="Pošte" sheetId="1" r:id="rId4"/>
    <sheet name="Regije" sheetId="2" r:id="rId5"/>
    <sheet name="Uvod" sheetId="8" r:id="rId6"/>
  </sheet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7" l="1"/>
  <c r="G3" i="7"/>
  <c r="H3" i="7"/>
  <c r="I3" i="7"/>
  <c r="F4" i="7"/>
  <c r="G4" i="7" s="1"/>
  <c r="H4" i="7"/>
  <c r="F5" i="7"/>
  <c r="G5" i="7" s="1"/>
  <c r="F6" i="7"/>
  <c r="G6" i="7"/>
  <c r="H6" i="7"/>
  <c r="I6" i="7"/>
  <c r="F7" i="7"/>
  <c r="G7" i="7" s="1"/>
  <c r="H7" i="7"/>
  <c r="F8" i="7"/>
  <c r="G8" i="7" s="1"/>
  <c r="F9" i="7"/>
  <c r="G9" i="7"/>
  <c r="H9" i="7"/>
  <c r="I9" i="7"/>
  <c r="F10" i="7"/>
  <c r="G10" i="7" s="1"/>
  <c r="H10" i="7"/>
  <c r="F11" i="7"/>
  <c r="G11" i="7" s="1"/>
  <c r="F12" i="7"/>
  <c r="G12" i="7"/>
  <c r="H12" i="7"/>
  <c r="I12" i="7"/>
  <c r="F13" i="7"/>
  <c r="G13" i="7" s="1"/>
  <c r="H13" i="7"/>
  <c r="F14" i="7"/>
  <c r="G14" i="7" s="1"/>
  <c r="F15" i="7"/>
  <c r="G15" i="7"/>
  <c r="H15" i="7"/>
  <c r="I15" i="7"/>
  <c r="F16" i="7"/>
  <c r="G16" i="7" s="1"/>
  <c r="H16" i="7"/>
  <c r="F17" i="7"/>
  <c r="G17" i="7" s="1"/>
  <c r="F18" i="7"/>
  <c r="G18" i="7"/>
  <c r="H18" i="7"/>
  <c r="I18" i="7"/>
  <c r="F19" i="7"/>
  <c r="G19" i="7" s="1"/>
  <c r="H19" i="7"/>
  <c r="F20" i="7"/>
  <c r="G20" i="7" s="1"/>
  <c r="F21" i="7"/>
  <c r="G21" i="7"/>
  <c r="H21" i="7"/>
  <c r="I21" i="7"/>
  <c r="F22" i="7"/>
  <c r="G22" i="7" s="1"/>
  <c r="H22" i="7"/>
  <c r="F23" i="7"/>
  <c r="G23" i="7" s="1"/>
  <c r="F24" i="7"/>
  <c r="G24" i="7"/>
  <c r="H24" i="7"/>
  <c r="I24" i="7"/>
  <c r="F25" i="7"/>
  <c r="G25" i="7" s="1"/>
  <c r="H25" i="7"/>
  <c r="F26" i="7"/>
  <c r="G26" i="7" s="1"/>
  <c r="F27" i="7"/>
  <c r="G27" i="7"/>
  <c r="H27" i="7"/>
  <c r="I27" i="7"/>
  <c r="F28" i="7"/>
  <c r="G28" i="7" s="1"/>
  <c r="H28" i="7"/>
  <c r="F29" i="7"/>
  <c r="G29" i="7" s="1"/>
  <c r="F30" i="7"/>
  <c r="G30" i="7"/>
  <c r="H30" i="7"/>
  <c r="I30" i="7"/>
  <c r="F31" i="7"/>
  <c r="G31" i="7" s="1"/>
  <c r="H31" i="7"/>
  <c r="F32" i="7"/>
  <c r="G32" i="7" s="1"/>
  <c r="F33" i="7"/>
  <c r="G33" i="7"/>
  <c r="H33" i="7"/>
  <c r="I33" i="7"/>
  <c r="F34" i="7"/>
  <c r="G34" i="7" s="1"/>
  <c r="H34" i="7"/>
  <c r="F35" i="7"/>
  <c r="G35" i="7" s="1"/>
  <c r="F36" i="7"/>
  <c r="G36" i="7"/>
  <c r="H36" i="7"/>
  <c r="I36" i="7"/>
  <c r="F37" i="7"/>
  <c r="G37" i="7" s="1"/>
  <c r="H37" i="7"/>
  <c r="F38" i="7"/>
  <c r="G38" i="7" s="1"/>
  <c r="F39" i="7"/>
  <c r="G39" i="7"/>
  <c r="H39" i="7"/>
  <c r="I39" i="7"/>
  <c r="F40" i="7"/>
  <c r="G40" i="7" s="1"/>
  <c r="H40" i="7"/>
  <c r="F41" i="7"/>
  <c r="G41" i="7" s="1"/>
  <c r="F42" i="7"/>
  <c r="G42" i="7"/>
  <c r="H42" i="7"/>
  <c r="I42" i="7"/>
  <c r="F43" i="7"/>
  <c r="G43" i="7" s="1"/>
  <c r="H43" i="7"/>
  <c r="F44" i="7"/>
  <c r="G44" i="7" s="1"/>
  <c r="F45" i="7"/>
  <c r="G45" i="7"/>
  <c r="H45" i="7"/>
  <c r="I45" i="7"/>
  <c r="F46" i="7"/>
  <c r="G46" i="7" s="1"/>
  <c r="H46" i="7"/>
  <c r="F47" i="7"/>
  <c r="G47" i="7" s="1"/>
  <c r="F48" i="7"/>
  <c r="G48" i="7"/>
  <c r="H48" i="7"/>
  <c r="I48" i="7"/>
  <c r="F49" i="7"/>
  <c r="G49" i="7" s="1"/>
  <c r="H49" i="7"/>
  <c r="F50" i="7"/>
  <c r="G50" i="7" s="1"/>
  <c r="F51" i="7"/>
  <c r="G51" i="7"/>
  <c r="H51" i="7"/>
  <c r="I51" i="7"/>
  <c r="F52" i="7"/>
  <c r="G52" i="7" s="1"/>
  <c r="H52" i="7"/>
  <c r="F53" i="7"/>
  <c r="G53" i="7" s="1"/>
  <c r="F54" i="7"/>
  <c r="G54" i="7"/>
  <c r="H54" i="7"/>
  <c r="I54" i="7"/>
  <c r="F55" i="7"/>
  <c r="G55" i="7" s="1"/>
  <c r="H55" i="7"/>
  <c r="F56" i="7"/>
  <c r="G56" i="7" s="1"/>
  <c r="F57" i="7"/>
  <c r="G57" i="7"/>
  <c r="H57" i="7"/>
  <c r="I57" i="7"/>
  <c r="F58" i="7"/>
  <c r="G58" i="7" s="1"/>
  <c r="H58" i="7"/>
  <c r="F59" i="7"/>
  <c r="G59" i="7" s="1"/>
  <c r="F60" i="7"/>
  <c r="I60" i="7" s="1"/>
  <c r="G60" i="7"/>
  <c r="H60" i="7"/>
  <c r="F61" i="7"/>
  <c r="G61" i="7" s="1"/>
  <c r="H61" i="7"/>
  <c r="F62" i="7"/>
  <c r="G62" i="7" s="1"/>
  <c r="F63" i="7"/>
  <c r="G63" i="7"/>
  <c r="H63" i="7"/>
  <c r="I63" i="7"/>
  <c r="F64" i="7"/>
  <c r="G64" i="7" s="1"/>
  <c r="H64" i="7"/>
  <c r="F65" i="7"/>
  <c r="G65" i="7" s="1"/>
  <c r="F66" i="7"/>
  <c r="G66" i="7"/>
  <c r="H66" i="7"/>
  <c r="I66" i="7"/>
  <c r="F67" i="7"/>
  <c r="G67" i="7" s="1"/>
  <c r="H67" i="7"/>
  <c r="F68" i="7"/>
  <c r="G68" i="7" s="1"/>
  <c r="F69" i="7"/>
  <c r="G69" i="7"/>
  <c r="H69" i="7"/>
  <c r="I69" i="7"/>
  <c r="F70" i="7"/>
  <c r="G70" i="7" s="1"/>
  <c r="H70" i="7"/>
  <c r="F71" i="7"/>
  <c r="G71" i="7" s="1"/>
  <c r="F72" i="7"/>
  <c r="G72" i="7"/>
  <c r="H72" i="7"/>
  <c r="I72" i="7"/>
  <c r="F73" i="7"/>
  <c r="G73" i="7" s="1"/>
  <c r="H73" i="7"/>
  <c r="F74" i="7"/>
  <c r="G74" i="7" s="1"/>
  <c r="F75" i="7"/>
  <c r="G75" i="7"/>
  <c r="H75" i="7"/>
  <c r="I75" i="7"/>
  <c r="F76" i="7"/>
  <c r="G76" i="7" s="1"/>
  <c r="H76" i="7"/>
  <c r="F77" i="7"/>
  <c r="G77" i="7" s="1"/>
  <c r="F78" i="7"/>
  <c r="G78" i="7"/>
  <c r="H78" i="7"/>
  <c r="I78" i="7"/>
  <c r="F79" i="7"/>
  <c r="G79" i="7" s="1"/>
  <c r="H79" i="7"/>
  <c r="F80" i="7"/>
  <c r="G80" i="7" s="1"/>
  <c r="F81" i="7"/>
  <c r="G81" i="7"/>
  <c r="H81" i="7"/>
  <c r="I81" i="7"/>
  <c r="F82" i="7"/>
  <c r="G82" i="7" s="1"/>
  <c r="H82" i="7"/>
  <c r="F83" i="7"/>
  <c r="G83" i="7" s="1"/>
  <c r="F84" i="7"/>
  <c r="G84" i="7"/>
  <c r="H84" i="7"/>
  <c r="I84" i="7"/>
  <c r="F85" i="7"/>
  <c r="G85" i="7" s="1"/>
  <c r="H85" i="7"/>
  <c r="F86" i="7"/>
  <c r="G86" i="7" s="1"/>
  <c r="F87" i="7"/>
  <c r="G87" i="7"/>
  <c r="H87" i="7"/>
  <c r="I87" i="7"/>
  <c r="F88" i="7"/>
  <c r="G88" i="7" s="1"/>
  <c r="H88" i="7"/>
  <c r="F89" i="7"/>
  <c r="G89" i="7" s="1"/>
  <c r="F90" i="7"/>
  <c r="G90" i="7"/>
  <c r="H90" i="7"/>
  <c r="I90" i="7"/>
  <c r="F91" i="7"/>
  <c r="G91" i="7" s="1"/>
  <c r="H91" i="7"/>
  <c r="F92" i="7"/>
  <c r="G92" i="7" s="1"/>
  <c r="F93" i="7"/>
  <c r="G93" i="7"/>
  <c r="H93" i="7"/>
  <c r="I93" i="7"/>
  <c r="F94" i="7"/>
  <c r="G94" i="7" s="1"/>
  <c r="H94" i="7"/>
  <c r="F95" i="7"/>
  <c r="G95" i="7" s="1"/>
  <c r="F96" i="7"/>
  <c r="I96" i="7" s="1"/>
  <c r="G96" i="7"/>
  <c r="H96" i="7"/>
  <c r="F97" i="7"/>
  <c r="G97" i="7" s="1"/>
  <c r="H97" i="7"/>
  <c r="F98" i="7"/>
  <c r="G98" i="7" s="1"/>
  <c r="F99" i="7"/>
  <c r="I99" i="7" s="1"/>
  <c r="G99" i="7"/>
  <c r="H99" i="7"/>
  <c r="F100" i="7"/>
  <c r="G100" i="7" s="1"/>
  <c r="H100" i="7"/>
  <c r="F101" i="7"/>
  <c r="G101" i="7" s="1"/>
  <c r="F102" i="7"/>
  <c r="I102" i="7" s="1"/>
  <c r="G102" i="7"/>
  <c r="H102" i="7"/>
  <c r="F103" i="7"/>
  <c r="G103" i="7" s="1"/>
  <c r="H103" i="7"/>
  <c r="F104" i="7"/>
  <c r="G104" i="7" s="1"/>
  <c r="F105" i="7"/>
  <c r="I105" i="7" s="1"/>
  <c r="G105" i="7"/>
  <c r="H105" i="7"/>
  <c r="F106" i="7"/>
  <c r="G106" i="7" s="1"/>
  <c r="H106" i="7"/>
  <c r="F107" i="7"/>
  <c r="G107" i="7" s="1"/>
  <c r="F108" i="7"/>
  <c r="I108" i="7" s="1"/>
  <c r="G108" i="7"/>
  <c r="H108" i="7"/>
  <c r="F109" i="7"/>
  <c r="G109" i="7" s="1"/>
  <c r="H109" i="7"/>
  <c r="F110" i="7"/>
  <c r="G110" i="7" s="1"/>
  <c r="F111" i="7"/>
  <c r="I111" i="7" s="1"/>
  <c r="G111" i="7"/>
  <c r="H111" i="7"/>
  <c r="F112" i="7"/>
  <c r="G112" i="7" s="1"/>
  <c r="H112" i="7"/>
  <c r="F113" i="7"/>
  <c r="G113" i="7" s="1"/>
  <c r="F114" i="7"/>
  <c r="I114" i="7" s="1"/>
  <c r="G114" i="7"/>
  <c r="H114" i="7"/>
  <c r="F115" i="7"/>
  <c r="G115" i="7" s="1"/>
  <c r="H115" i="7"/>
  <c r="F116" i="7"/>
  <c r="G116" i="7" s="1"/>
  <c r="F117" i="7"/>
  <c r="I117" i="7" s="1"/>
  <c r="G117" i="7"/>
  <c r="H117" i="7"/>
  <c r="F118" i="7"/>
  <c r="G118" i="7" s="1"/>
  <c r="H118" i="7"/>
  <c r="F119" i="7"/>
  <c r="G119" i="7" s="1"/>
  <c r="F120" i="7"/>
  <c r="I120" i="7" s="1"/>
  <c r="G120" i="7"/>
  <c r="H120" i="7"/>
  <c r="F121" i="7"/>
  <c r="G121" i="7" s="1"/>
  <c r="H121" i="7"/>
  <c r="F122" i="7"/>
  <c r="G122" i="7" s="1"/>
  <c r="F123" i="7"/>
  <c r="I123" i="7" s="1"/>
  <c r="G123" i="7"/>
  <c r="H123" i="7"/>
  <c r="F124" i="7"/>
  <c r="G124" i="7" s="1"/>
  <c r="H124" i="7"/>
  <c r="F125" i="7"/>
  <c r="G125" i="7" s="1"/>
  <c r="F126" i="7"/>
  <c r="I126" i="7" s="1"/>
  <c r="G126" i="7"/>
  <c r="H126" i="7"/>
  <c r="F127" i="7"/>
  <c r="G127" i="7" s="1"/>
  <c r="H127" i="7"/>
  <c r="F128" i="7"/>
  <c r="G128" i="7" s="1"/>
  <c r="F129" i="7"/>
  <c r="I129" i="7" s="1"/>
  <c r="G129" i="7"/>
  <c r="H129" i="7"/>
  <c r="F130" i="7"/>
  <c r="G130" i="7" s="1"/>
  <c r="H130" i="7"/>
  <c r="F131" i="7"/>
  <c r="G131" i="7" s="1"/>
  <c r="F132" i="7"/>
  <c r="I132" i="7" s="1"/>
  <c r="G132" i="7"/>
  <c r="H132" i="7"/>
  <c r="F133" i="7"/>
  <c r="G133" i="7" s="1"/>
  <c r="H133" i="7"/>
  <c r="F134" i="7"/>
  <c r="G134" i="7" s="1"/>
  <c r="F135" i="7"/>
  <c r="I135" i="7" s="1"/>
  <c r="G135" i="7"/>
  <c r="H135" i="7"/>
  <c r="F136" i="7"/>
  <c r="G136" i="7" s="1"/>
  <c r="H136" i="7"/>
  <c r="F137" i="7"/>
  <c r="G137" i="7" s="1"/>
  <c r="F138" i="7"/>
  <c r="I138" i="7" s="1"/>
  <c r="G138" i="7"/>
  <c r="H138" i="7"/>
  <c r="F139" i="7"/>
  <c r="G139" i="7" s="1"/>
  <c r="H139" i="7"/>
  <c r="F140" i="7"/>
  <c r="G140" i="7" s="1"/>
  <c r="F141" i="7"/>
  <c r="I141" i="7" s="1"/>
  <c r="G141" i="7"/>
  <c r="H141" i="7"/>
  <c r="F142" i="7"/>
  <c r="G142" i="7" s="1"/>
  <c r="H142" i="7"/>
  <c r="F143" i="7"/>
  <c r="G143" i="7" s="1"/>
  <c r="F144" i="7"/>
  <c r="I144" i="7" s="1"/>
  <c r="G144" i="7"/>
  <c r="H144" i="7"/>
  <c r="F2" i="7"/>
  <c r="I2" i="7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2" i="1"/>
  <c r="H1" i="7"/>
  <c r="I1" i="7"/>
  <c r="G1" i="7"/>
  <c r="E284" i="1"/>
  <c r="E290" i="1"/>
  <c r="E285" i="1"/>
  <c r="E286" i="1"/>
  <c r="E287" i="1"/>
  <c r="E278" i="1"/>
  <c r="E266" i="1"/>
  <c r="E263" i="1"/>
  <c r="E259" i="1"/>
  <c r="E260" i="1"/>
  <c r="E271" i="1"/>
  <c r="E296" i="1"/>
  <c r="E293" i="1"/>
  <c r="E289" i="1"/>
  <c r="E281" i="1"/>
  <c r="E255" i="1"/>
  <c r="E256" i="1"/>
  <c r="E294" i="1"/>
  <c r="E299" i="1"/>
  <c r="E280" i="1"/>
  <c r="E283" i="1"/>
  <c r="E267" i="1"/>
  <c r="E295" i="1"/>
  <c r="E258" i="1"/>
  <c r="E279" i="1"/>
  <c r="E270" i="1"/>
  <c r="E261" i="1"/>
  <c r="E277" i="1"/>
  <c r="E297" i="1"/>
  <c r="E274" i="1"/>
  <c r="E276" i="1"/>
  <c r="E272" i="1"/>
  <c r="E288" i="1"/>
  <c r="E264" i="1"/>
  <c r="E269" i="1"/>
  <c r="E298" i="1"/>
  <c r="E268" i="1"/>
  <c r="E257" i="1"/>
  <c r="E282" i="1"/>
  <c r="E262" i="1"/>
  <c r="E265" i="1"/>
  <c r="E275" i="1"/>
  <c r="E273" i="1"/>
  <c r="E291" i="1"/>
  <c r="E325" i="1"/>
  <c r="E313" i="1"/>
  <c r="E340" i="1"/>
  <c r="E311" i="1"/>
  <c r="E333" i="1"/>
  <c r="E328" i="1"/>
  <c r="E321" i="1"/>
  <c r="E329" i="1"/>
  <c r="E323" i="1"/>
  <c r="E302" i="1"/>
  <c r="E324" i="1"/>
  <c r="E304" i="1"/>
  <c r="E339" i="1"/>
  <c r="E330" i="1"/>
  <c r="E316" i="1"/>
  <c r="E319" i="1"/>
  <c r="E331" i="1"/>
  <c r="E306" i="1"/>
  <c r="E305" i="1"/>
  <c r="E310" i="1"/>
  <c r="E303" i="1"/>
  <c r="E341" i="1"/>
  <c r="E314" i="1"/>
  <c r="E336" i="1"/>
  <c r="E308" i="1"/>
  <c r="E300" i="1"/>
  <c r="E301" i="1"/>
  <c r="E317" i="1"/>
  <c r="E327" i="1"/>
  <c r="E342" i="1"/>
  <c r="E337" i="1"/>
  <c r="E307" i="1"/>
  <c r="E334" i="1"/>
  <c r="E315" i="1"/>
  <c r="E318" i="1"/>
  <c r="E332" i="1"/>
  <c r="E312" i="1"/>
  <c r="E322" i="1"/>
  <c r="E335" i="1"/>
  <c r="E309" i="1"/>
  <c r="E320" i="1"/>
  <c r="E326" i="1"/>
  <c r="E338" i="1"/>
  <c r="E434" i="1"/>
  <c r="E426" i="1"/>
  <c r="E411" i="1"/>
  <c r="E433" i="1"/>
  <c r="E384" i="1"/>
  <c r="E57" i="1"/>
  <c r="E438" i="1"/>
  <c r="E55" i="1"/>
  <c r="E436" i="1"/>
  <c r="E441" i="1"/>
  <c r="E431" i="1"/>
  <c r="E442" i="1"/>
  <c r="E56" i="1"/>
  <c r="E61" i="1"/>
  <c r="E424" i="1"/>
  <c r="E59" i="1"/>
  <c r="E54" i="1"/>
  <c r="E429" i="1"/>
  <c r="E393" i="1"/>
  <c r="E387" i="1"/>
  <c r="E390" i="1"/>
  <c r="E381" i="1"/>
  <c r="E382" i="1"/>
  <c r="E52" i="1"/>
  <c r="E60" i="1"/>
  <c r="E389" i="1"/>
  <c r="E425" i="1"/>
  <c r="E46" i="1"/>
  <c r="E432" i="1"/>
  <c r="E53" i="1"/>
  <c r="E58" i="1"/>
  <c r="E435" i="1"/>
  <c r="E427" i="1"/>
  <c r="E439" i="1"/>
  <c r="E430" i="1"/>
  <c r="E423" i="1"/>
  <c r="E229" i="1"/>
  <c r="E392" i="1"/>
  <c r="E410" i="1"/>
  <c r="E388" i="1"/>
  <c r="E391" i="1"/>
  <c r="E383" i="1"/>
  <c r="E428" i="1"/>
  <c r="E385" i="1"/>
  <c r="E386" i="1"/>
  <c r="E437" i="1"/>
  <c r="E440" i="1"/>
  <c r="E188" i="1"/>
  <c r="E177" i="1"/>
  <c r="E189" i="1"/>
  <c r="E179" i="1"/>
  <c r="E187" i="1"/>
  <c r="E183" i="1"/>
  <c r="E175" i="1"/>
  <c r="E182" i="1"/>
  <c r="E172" i="1"/>
  <c r="E186" i="1"/>
  <c r="E169" i="1"/>
  <c r="E185" i="1"/>
  <c r="E173" i="1"/>
  <c r="E181" i="1"/>
  <c r="E180" i="1"/>
  <c r="E184" i="1"/>
  <c r="E178" i="1"/>
  <c r="E174" i="1"/>
  <c r="E176" i="1"/>
  <c r="E375" i="1"/>
  <c r="E373" i="1"/>
  <c r="E369" i="1"/>
  <c r="E346" i="1"/>
  <c r="E350" i="1"/>
  <c r="E370" i="1"/>
  <c r="E377" i="1"/>
  <c r="E352" i="1"/>
  <c r="E343" i="1"/>
  <c r="E344" i="1"/>
  <c r="E357" i="1"/>
  <c r="E349" i="1"/>
  <c r="E371" i="1"/>
  <c r="E358" i="1"/>
  <c r="E359" i="1"/>
  <c r="E379" i="1"/>
  <c r="E374" i="1"/>
  <c r="E347" i="1"/>
  <c r="E360" i="1"/>
  <c r="E378" i="1"/>
  <c r="E380" i="1"/>
  <c r="E353" i="1"/>
  <c r="E345" i="1"/>
  <c r="E376" i="1"/>
  <c r="E372" i="1"/>
  <c r="E351" i="1"/>
  <c r="E348" i="1"/>
  <c r="E14" i="1"/>
  <c r="E64" i="1"/>
  <c r="E62" i="1"/>
  <c r="E18" i="1"/>
  <c r="E67" i="1"/>
  <c r="E28" i="1"/>
  <c r="E31" i="1"/>
  <c r="E16" i="1"/>
  <c r="E32" i="1"/>
  <c r="E37" i="1"/>
  <c r="E65" i="1"/>
  <c r="E72" i="1"/>
  <c r="E39" i="1"/>
  <c r="E42" i="1"/>
  <c r="E22" i="1"/>
  <c r="E10" i="1"/>
  <c r="E35" i="1"/>
  <c r="E44" i="1"/>
  <c r="E11" i="1"/>
  <c r="E29" i="1"/>
  <c r="E2" i="1"/>
  <c r="E3" i="1"/>
  <c r="E17" i="1"/>
  <c r="E27" i="1"/>
  <c r="E26" i="1"/>
  <c r="E4" i="1"/>
  <c r="E5" i="1"/>
  <c r="E6" i="1"/>
  <c r="E69" i="1"/>
  <c r="E71" i="1"/>
  <c r="E15" i="1"/>
  <c r="E7" i="1"/>
  <c r="E19" i="1"/>
  <c r="E24" i="1"/>
  <c r="E12" i="1"/>
  <c r="E68" i="1"/>
  <c r="E66" i="1"/>
  <c r="E30" i="1"/>
  <c r="E63" i="1"/>
  <c r="E34" i="1"/>
  <c r="E20" i="1"/>
  <c r="E50" i="1"/>
  <c r="E73" i="1"/>
  <c r="E36" i="1"/>
  <c r="E8" i="1"/>
  <c r="E23" i="1"/>
  <c r="E49" i="1"/>
  <c r="E43" i="1"/>
  <c r="E38" i="1"/>
  <c r="E40" i="1"/>
  <c r="E33" i="1"/>
  <c r="E13" i="1"/>
  <c r="E21" i="1"/>
  <c r="E47" i="1"/>
  <c r="E25" i="1"/>
  <c r="E51" i="1"/>
  <c r="E48" i="1"/>
  <c r="E41" i="1"/>
  <c r="E9" i="1"/>
  <c r="E70" i="1"/>
  <c r="E45" i="1"/>
  <c r="E112" i="1"/>
  <c r="E164" i="1"/>
  <c r="E168" i="1"/>
  <c r="E114" i="1"/>
  <c r="E103" i="1"/>
  <c r="E157" i="1"/>
  <c r="E134" i="1"/>
  <c r="E119" i="1"/>
  <c r="E118" i="1"/>
  <c r="E162" i="1"/>
  <c r="E145" i="1"/>
  <c r="E127" i="1"/>
  <c r="E140" i="1"/>
  <c r="E143" i="1"/>
  <c r="E125" i="1"/>
  <c r="E105" i="1"/>
  <c r="E104" i="1"/>
  <c r="E106" i="1"/>
  <c r="E122" i="1"/>
  <c r="E165" i="1"/>
  <c r="E171" i="1"/>
  <c r="E156" i="1"/>
  <c r="E131" i="1"/>
  <c r="E150" i="1"/>
  <c r="E108" i="1"/>
  <c r="E160" i="1"/>
  <c r="E155" i="1"/>
  <c r="E163" i="1"/>
  <c r="E153" i="1"/>
  <c r="E152" i="1"/>
  <c r="E107" i="1"/>
  <c r="E92" i="1"/>
  <c r="E93" i="1"/>
  <c r="E97" i="1"/>
  <c r="E133" i="1"/>
  <c r="E95" i="1"/>
  <c r="E130" i="1"/>
  <c r="E149" i="1"/>
  <c r="E144" i="1"/>
  <c r="E126" i="1"/>
  <c r="E170" i="1"/>
  <c r="E109" i="1"/>
  <c r="E99" i="1"/>
  <c r="E128" i="1"/>
  <c r="E138" i="1"/>
  <c r="E98" i="1"/>
  <c r="E123" i="1"/>
  <c r="E151" i="1"/>
  <c r="E159" i="1"/>
  <c r="E117" i="1"/>
  <c r="E154" i="1"/>
  <c r="E158" i="1"/>
  <c r="E161" i="1"/>
  <c r="E166" i="1"/>
  <c r="E102" i="1"/>
  <c r="E142" i="1"/>
  <c r="E115" i="1"/>
  <c r="E132" i="1"/>
  <c r="E96" i="1"/>
  <c r="E141" i="1"/>
  <c r="E167" i="1"/>
  <c r="E111" i="1"/>
  <c r="E113" i="1"/>
  <c r="E124" i="1"/>
  <c r="E100" i="1"/>
  <c r="E147" i="1"/>
  <c r="E120" i="1"/>
  <c r="E129" i="1"/>
  <c r="E136" i="1"/>
  <c r="E121" i="1"/>
  <c r="E110" i="1"/>
  <c r="E135" i="1"/>
  <c r="E116" i="1"/>
  <c r="E94" i="1"/>
  <c r="E148" i="1"/>
  <c r="E146" i="1"/>
  <c r="E101" i="1"/>
  <c r="E137" i="1"/>
  <c r="E139" i="1"/>
  <c r="E474" i="1"/>
  <c r="E461" i="1"/>
  <c r="E479" i="1"/>
  <c r="E455" i="1"/>
  <c r="E475" i="1"/>
  <c r="E462" i="1"/>
  <c r="E456" i="1"/>
  <c r="E452" i="1"/>
  <c r="E471" i="1"/>
  <c r="E478" i="1"/>
  <c r="E449" i="1"/>
  <c r="E460" i="1"/>
  <c r="E450" i="1"/>
  <c r="E466" i="1"/>
  <c r="E477" i="1"/>
  <c r="E453" i="1"/>
  <c r="E464" i="1"/>
  <c r="E446" i="1"/>
  <c r="E467" i="1"/>
  <c r="E454" i="1"/>
  <c r="E459" i="1"/>
  <c r="E443" i="1"/>
  <c r="E444" i="1"/>
  <c r="E463" i="1"/>
  <c r="E447" i="1"/>
  <c r="E451" i="1"/>
  <c r="E445" i="1"/>
  <c r="E473" i="1"/>
  <c r="E470" i="1"/>
  <c r="E476" i="1"/>
  <c r="E469" i="1"/>
  <c r="E468" i="1"/>
  <c r="E448" i="1"/>
  <c r="E472" i="1"/>
  <c r="E457" i="1"/>
  <c r="E458" i="1"/>
  <c r="E465" i="1"/>
  <c r="E396" i="1"/>
  <c r="E402" i="1"/>
  <c r="E415" i="1"/>
  <c r="E419" i="1"/>
  <c r="E412" i="1"/>
  <c r="E394" i="1"/>
  <c r="E405" i="1"/>
  <c r="E395" i="1"/>
  <c r="E400" i="1"/>
  <c r="E397" i="1"/>
  <c r="E403" i="1"/>
  <c r="E401" i="1"/>
  <c r="E414" i="1"/>
  <c r="E421" i="1"/>
  <c r="E404" i="1"/>
  <c r="E406" i="1"/>
  <c r="E408" i="1"/>
  <c r="E91" i="1"/>
  <c r="E398" i="1"/>
  <c r="E90" i="1"/>
  <c r="E409" i="1"/>
  <c r="E413" i="1"/>
  <c r="E416" i="1"/>
  <c r="E399" i="1"/>
  <c r="E418" i="1"/>
  <c r="E422" i="1"/>
  <c r="E420" i="1"/>
  <c r="E417" i="1"/>
  <c r="E407" i="1"/>
  <c r="E89" i="1"/>
  <c r="E76" i="1"/>
  <c r="E74" i="1"/>
  <c r="E77" i="1"/>
  <c r="E354" i="1"/>
  <c r="E361" i="1"/>
  <c r="E362" i="1"/>
  <c r="E364" i="1"/>
  <c r="E363" i="1"/>
  <c r="E366" i="1"/>
  <c r="E78" i="1"/>
  <c r="E367" i="1"/>
  <c r="E356" i="1"/>
  <c r="E355" i="1"/>
  <c r="E365" i="1"/>
  <c r="E368" i="1"/>
  <c r="E75" i="1"/>
  <c r="E79" i="1"/>
  <c r="E221" i="1"/>
  <c r="E241" i="1"/>
  <c r="E220" i="1"/>
  <c r="E190" i="1"/>
  <c r="E191" i="1"/>
  <c r="E208" i="1"/>
  <c r="E195" i="1"/>
  <c r="E206" i="1"/>
  <c r="E201" i="1"/>
  <c r="E234" i="1"/>
  <c r="E226" i="1"/>
  <c r="E254" i="1"/>
  <c r="E233" i="1"/>
  <c r="E211" i="1"/>
  <c r="E231" i="1"/>
  <c r="E213" i="1"/>
  <c r="E223" i="1"/>
  <c r="E228" i="1"/>
  <c r="E224" i="1"/>
  <c r="E193" i="1"/>
  <c r="E250" i="1"/>
  <c r="E203" i="1"/>
  <c r="E207" i="1"/>
  <c r="E251" i="1"/>
  <c r="E247" i="1"/>
  <c r="E248" i="1"/>
  <c r="E194" i="1"/>
  <c r="E232" i="1"/>
  <c r="E209" i="1"/>
  <c r="E219" i="1"/>
  <c r="E215" i="1"/>
  <c r="E222" i="1"/>
  <c r="E240" i="1"/>
  <c r="E212" i="1"/>
  <c r="E239" i="1"/>
  <c r="E225" i="1"/>
  <c r="E218" i="1"/>
  <c r="E249" i="1"/>
  <c r="E230" i="1"/>
  <c r="E216" i="1"/>
  <c r="E217" i="1"/>
  <c r="E198" i="1"/>
  <c r="E252" i="1"/>
  <c r="E197" i="1"/>
  <c r="E227" i="1"/>
  <c r="E238" i="1"/>
  <c r="E210" i="1"/>
  <c r="E199" i="1"/>
  <c r="E214" i="1"/>
  <c r="E253" i="1"/>
  <c r="E246" i="1"/>
  <c r="E192" i="1"/>
  <c r="E244" i="1"/>
  <c r="E204" i="1"/>
  <c r="E235" i="1"/>
  <c r="E205" i="1"/>
  <c r="E245" i="1"/>
  <c r="E242" i="1"/>
  <c r="E243" i="1"/>
  <c r="E196" i="1"/>
  <c r="E200" i="1"/>
  <c r="E236" i="1"/>
  <c r="E202" i="1"/>
  <c r="E237" i="1"/>
  <c r="E484" i="1"/>
  <c r="E480" i="1"/>
  <c r="E481" i="1"/>
  <c r="E482" i="1"/>
  <c r="E483" i="1"/>
  <c r="E83" i="1"/>
  <c r="E86" i="1"/>
  <c r="E88" i="1"/>
  <c r="E87" i="1"/>
  <c r="E81" i="1"/>
  <c r="E82" i="1"/>
  <c r="E84" i="1"/>
  <c r="E85" i="1"/>
  <c r="E80" i="1"/>
  <c r="E292" i="1"/>
  <c r="I143" i="7" l="1"/>
  <c r="I140" i="7"/>
  <c r="I137" i="7"/>
  <c r="I134" i="7"/>
  <c r="I131" i="7"/>
  <c r="I128" i="7"/>
  <c r="I125" i="7"/>
  <c r="I122" i="7"/>
  <c r="I119" i="7"/>
  <c r="I116" i="7"/>
  <c r="I113" i="7"/>
  <c r="I110" i="7"/>
  <c r="I107" i="7"/>
  <c r="I104" i="7"/>
  <c r="I101" i="7"/>
  <c r="I98" i="7"/>
  <c r="I95" i="7"/>
  <c r="I92" i="7"/>
  <c r="I89" i="7"/>
  <c r="I86" i="7"/>
  <c r="I83" i="7"/>
  <c r="I80" i="7"/>
  <c r="I77" i="7"/>
  <c r="I74" i="7"/>
  <c r="I71" i="7"/>
  <c r="I68" i="7"/>
  <c r="I65" i="7"/>
  <c r="I62" i="7"/>
  <c r="I59" i="7"/>
  <c r="I56" i="7"/>
  <c r="I53" i="7"/>
  <c r="I50" i="7"/>
  <c r="I47" i="7"/>
  <c r="I44" i="7"/>
  <c r="I41" i="7"/>
  <c r="I38" i="7"/>
  <c r="I35" i="7"/>
  <c r="I32" i="7"/>
  <c r="I29" i="7"/>
  <c r="I26" i="7"/>
  <c r="I23" i="7"/>
  <c r="I20" i="7"/>
  <c r="I17" i="7"/>
  <c r="I14" i="7"/>
  <c r="I11" i="7"/>
  <c r="I8" i="7"/>
  <c r="I5" i="7"/>
  <c r="H143" i="7"/>
  <c r="H140" i="7"/>
  <c r="H137" i="7"/>
  <c r="H134" i="7"/>
  <c r="H131" i="7"/>
  <c r="H128" i="7"/>
  <c r="H125" i="7"/>
  <c r="H122" i="7"/>
  <c r="H119" i="7"/>
  <c r="H116" i="7"/>
  <c r="H113" i="7"/>
  <c r="H110" i="7"/>
  <c r="H107" i="7"/>
  <c r="H104" i="7"/>
  <c r="H101" i="7"/>
  <c r="H98" i="7"/>
  <c r="H95" i="7"/>
  <c r="H92" i="7"/>
  <c r="H89" i="7"/>
  <c r="H86" i="7"/>
  <c r="H83" i="7"/>
  <c r="H80" i="7"/>
  <c r="H77" i="7"/>
  <c r="H74" i="7"/>
  <c r="H71" i="7"/>
  <c r="H68" i="7"/>
  <c r="H65" i="7"/>
  <c r="H62" i="7"/>
  <c r="H59" i="7"/>
  <c r="H56" i="7"/>
  <c r="H53" i="7"/>
  <c r="H50" i="7"/>
  <c r="H47" i="7"/>
  <c r="H44" i="7"/>
  <c r="H41" i="7"/>
  <c r="H38" i="7"/>
  <c r="H35" i="7"/>
  <c r="H32" i="7"/>
  <c r="H29" i="7"/>
  <c r="H26" i="7"/>
  <c r="H23" i="7"/>
  <c r="H20" i="7"/>
  <c r="H17" i="7"/>
  <c r="H14" i="7"/>
  <c r="H11" i="7"/>
  <c r="H8" i="7"/>
  <c r="H5" i="7"/>
  <c r="I142" i="7"/>
  <c r="I139" i="7"/>
  <c r="I136" i="7"/>
  <c r="I133" i="7"/>
  <c r="I130" i="7"/>
  <c r="I127" i="7"/>
  <c r="I124" i="7"/>
  <c r="I121" i="7"/>
  <c r="I118" i="7"/>
  <c r="I115" i="7"/>
  <c r="I112" i="7"/>
  <c r="I109" i="7"/>
  <c r="I106" i="7"/>
  <c r="I103" i="7"/>
  <c r="I100" i="7"/>
  <c r="I97" i="7"/>
  <c r="I94" i="7"/>
  <c r="I91" i="7"/>
  <c r="I88" i="7"/>
  <c r="I85" i="7"/>
  <c r="I82" i="7"/>
  <c r="I79" i="7"/>
  <c r="I76" i="7"/>
  <c r="I73" i="7"/>
  <c r="I70" i="7"/>
  <c r="I67" i="7"/>
  <c r="I64" i="7"/>
  <c r="I61" i="7"/>
  <c r="I58" i="7"/>
  <c r="I55" i="7"/>
  <c r="I52" i="7"/>
  <c r="I49" i="7"/>
  <c r="I46" i="7"/>
  <c r="I43" i="7"/>
  <c r="I40" i="7"/>
  <c r="I37" i="7"/>
  <c r="I34" i="7"/>
  <c r="I31" i="7"/>
  <c r="I28" i="7"/>
  <c r="I25" i="7"/>
  <c r="I22" i="7"/>
  <c r="I19" i="7"/>
  <c r="I16" i="7"/>
  <c r="I13" i="7"/>
  <c r="I10" i="7"/>
  <c r="I7" i="7"/>
  <c r="I4" i="7"/>
  <c r="H2" i="7"/>
  <c r="G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tc={F4841313-2AC6-4AB8-9D8D-A918BDBEDA73}</author>
  </authors>
  <commentList>
    <comment ref="A1" authorId="0" shapeId="0" xr:uid="{F4841313-2AC6-4AB8-9D8D-A918BDBEDA73}">
      <text>
        <t>[Threaded comment]
Your version of Excel allows you to read this threaded comment; however, any edits to it will get removed if the file is opened in a newer version of Excel. Learn more: https://go.microsoft.com/fwlink/?linkid=870924
Comment:
    --statistike meritve (centili, cone) ločeno po testu za udeležence OKS projekta Zmigaj_se_do_vadbe (ZV) - regije in SLO
--BL, 2026-04-01
-- definicija baterij kot table variable
DECLARE @Baterije TABLE (ID INT);
INSERT INTO @Baterije (ID)
VALUES (18), (19), (20), (21), (25), (26);
-- =========================
-- CENTILI
-- =========================
-- centili Slovenija
SELECT 
    'Slovenija' as Regija,
    t.Ime AS Test,
    AVG(r.CentilniRang1) AS CentilXA,
    COUNT(r.CentilniRang1) AS N
FROM TestVbateriji tv
JOIN Test t 
    ON t.ID = tv.IdTest
JOIN Rezultat r
    ON r.IdTest = t.ID
JOIN Merjenec m 
    ON m.ID = r.IdMerjenec
JOIN Meritev me
    ON me.ID = m.IdMeritev
JOIN DostopUporabnikaDoClana du
    ON du.IdClan = m.IdClan
WHERE du.IdVloga = 10
  AND r.CentilniRang1 IS NOT NULL
  AND tv.IdBaterija IN (SELECT ID FROM @Baterije)
  AND me.BaterijaTestov IN (SELECT ID FROM @Baterije)
GROUP BY 
    t.Ime
UNION ALL
-- centili regije
SELECT
    rgn.Name AS Regija,
    t.Ime AS Test,
    AVG(r.CentilniRang1) AS CentilXA,
    COUNT(r.CentilniRang1) AS N
FROM TestVbateriji tv
JOIN Test t 
    ON t.ID = tv.IdTest
JOIN Rezultat r
    ON r.IdTest = t.ID
JOIN Merjenec m 
    ON m.ID = r.IdMerjenec
JOIN Meritev me
    ON me.ID = m.IdMeritev
JOIN DostopUporabnikaDoClana du
    ON du.IdClan = m.IdClan
JOIN Uporabnik u
    ON u.ID = du.IdUporabnik
JOIN PostalCodes pc
    ON pc.ID = u.PostalCodeID
JOIN fitnessMapRegions rgn
    ON rgn.ID = pc.RegionID
WHERE du.IdVloga = 10
  AND r.CentilniRang1 IS NOT NULL
  AND tv.IdBaterija IN (SELECT ID FROM @Baterije)
  AND me.BaterijaTestov IN (SELECT ID FROM @Baterije)
GROUP BY 
    rgn.Name,
    t.Ime
ORDER BY 
    Regija,
    Test;
-- =========================
-- CONE
-- =========================
-- cone Slovenija
SELECT 
    'Slovenija' as Regija,
    te.Ime AS TestIme,
    SUM(CASE WHEN r.ConaBarva = '#9ac263' THEN 1 ELSE 0 END) AS Zdravo,
    SUM(CASE WHEN r.ConaBarva = '#ffd54e' THEN 1 ELSE 0 END) AS Mejno,
    SUM(CASE WHEN r.ConaBarva = '#df3127' THEN 1 ELSE 0 END) AS Tvegano
FROM Rezultat r
JOIN Merjenec m 
    ON m.ID = r.IdMerjenec
JOIN Meritev me
    ON me.ID = m.IdMeritev
JOIN Clan c
    ON c.ID = m.IdClan
JOIN Test te
    ON te.ID = r.IdTest
WHERE me.BaterijaTestov IN (SELECT ID FROM @Baterije)
  AND r.ConaBarva IN ('#9ac263', '#df3127', '#ffd54e')
GROUP BY
    te.Ime
UNION ALL
-- cone regije
SELECT
    rgn.Name AS Regija,
    te.Ime AS TestIme,
    SUM(CASE WHEN r.ConaBarva = '#9ac263' THEN 1 ELSE 0 END) AS Zdravo,
    SUM(CASE WHEN r.ConaBarva = '#ffd54e' THEN 1 ELSE 0 END) AS Mejno,
    SUM(CASE WHEN r.ConaBarva = '#df3127' THEN 1 ELSE 0 END) AS Tvegano
FROM Rezultat r
JOIN Merjenec m 
    ON m.ID = r.IdMerjenec
JOIN Meritev me
    ON me.ID = m.IdMeritev
JOIN Clan c
    ON c.ID = m.IdClan
JOIN DostopUporabnikaDoClana du
    ON du.IdClan = c.ID
JOIN Uporabnik u
    ON u.ID = du.IdUporabnik
JOIN PostalCodes pc
    ON pc.ID = u.PostalCodeID
JOIN fitnessMapRegions rgn
    ON rgn.ID = pc.RegionID
JOIN Test te
    ON te.ID = r.IdTest
WHERE me.BaterijaTestov IN (SELECT ID FROM @Baterije)
  AND du.IdVloga = 10
  AND r.ConaBarva IN ('#9ac263', '#ffd54e', '#df3127')
GROUP BY
    rgn.Name,
    te.Ime
ORDER BY
    Regija,
    TestIme;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tc={BFFC901B-821E-4A6C-8204-68AA98345E97}</author>
  </authors>
  <commentList>
    <comment ref="A1" authorId="0" shapeId="0" xr:uid="{BFFC901B-821E-4A6C-8204-68AA98345E97}">
      <text>
        <t>[Threaded comment]
Your version of Excel allows you to read this threaded comment; however, any edits to it will get removed if the file is opened in a newer version of Excel. Learn more: https://go.microsoft.com/fwlink/?linkid=870924
Comment:
    -- definicija baterij kot table variable
DECLARE @Baterije TABLE (ID INT);
INSERT INTO @Baterije (ID)
VALUES (18), (19), (20), (21), (25), (26);
-- =========================
-- CENTILI
-- =========================
-- centili Slovenija
SELECT 
    'Slovenija' as Regija,
    t.Ime AS Test,
    AVG(r.CentilniRang1) AS CentilXA,
    COUNT(r.CentilniRang1) AS N
FROM TestVbateriji tv
JOIN Test t 
    ON t.ID = tv.IdTest
JOIN Rezultat r
    ON r.IdTest = t.ID
JOIN Merjenec m 
    ON m.ID = r.IdMerjenec
JOIN Meritev me
    ON me.ID = m.IdMeritev
JOIN DostopUporabnikaDoClana du
    ON du.IdClan = m.IdClan
WHERE du.IdVloga = 10
  AND r.CentilniRang1 IS NOT NULL
  AND tv.IdBaterija IN (SELECT ID FROM @Baterije)
  AND me.BaterijaTestov IN (SELECT ID FROM @Baterije)
GROUP BY 
    t.Ime
UNION ALL
-- centili regije
SELECT
    rgn.Name AS Regija,
    t.Ime AS Test,
    AVG(r.CentilniRang1) AS CentilXA,
    COUNT(r.CentilniRang1) AS N
FROM TestVbateriji tv
JOIN Test t 
    ON t.ID = tv.IdTest
JOIN Rezultat r
    ON r.IdTest = t.ID
JOIN Merjenec m 
    ON m.ID = r.IdMerjenec
JOIN Meritev me
    ON me.ID = m.IdMeritev
JOIN DostopUporabnikaDoClana du
    ON du.IdClan = m.IdClan
JOIN Uporabnik u
    ON u.ID = du.IdUporabnik
JOIN PostalCodes pc
    ON pc.ID = u.PostalCodeID
JOIN fitnessMapRegions rgn
    ON rgn.ID = pc.RegionID
WHERE du.IdVloga = 10
  AND r.CentilniRang1 IS NOT NULL
  AND tv.IdBaterija IN (SELECT ID FROM @Baterije)
  AND me.BaterijaTestov IN (SELECT ID FROM @Baterije)
GROUP BY 
    rgn.Name,
    t.Ime
ORDER BY 
    Regija,
    Test;
-- =========================
-- CONE
-- =========================
-- cone Slovenija
SELECT 
    'Slovenija' as Regija,
    te.Ime AS TestIme,
    SUM(CASE WHEN r.ConaBarva = '#9ac263' THEN 1 ELSE 0 END) AS Zdravo,
    SUM(CASE WHEN r.ConaBarva = '#ffd54e' THEN 1 ELSE 0 END) AS Mejno,
    SUM(CASE WHEN r.ConaBarva = '#df3127' THEN 1 ELSE 0 END) AS Tvegano
FROM Rezultat r
JOIN Merjenec m 
    ON m.ID = r.IdMerjenec
JOIN Meritev me
    ON me.ID = m.IdMeritev
JOIN Clan c
    ON c.ID = m.IdClan
JOIN Test te
    ON te.ID = r.IdTest
WHERE me.BaterijaTestov IN (SELECT ID FROM @Baterije)
  AND r.ConaBarva IN ('#9ac263', '#df3127', '#ffd54e')
GROUP BY
    te.Ime
UNION ALL
-- cone regije
SELECT
    rgn.Name AS Regija,
    te.Ime AS TestIme,
    SUM(CASE WHEN r.ConaBarva = '#9ac263' THEN 1 ELSE 0 END) AS Zdravo,
    SUM(CASE WHEN r.ConaBarva = '#ffd54e' THEN 1 ELSE 0 END) AS Mejno,
    SUM(CASE WHEN r.ConaBarva = '#df3127' THEN 1 ELSE 0 END) AS Tvegano
FROM Rezultat r
JOIN Merjenec m 
    ON m.ID = r.IdMerjenec
JOIN Meritev me
    ON me.ID = m.IdMeritev
JOIN Clan c
    ON c.ID = m.IdClan
JOIN DostopUporabnikaDoClana du
    ON du.IdClan = c.ID
JOIN Uporabnik u
    ON u.ID = du.IdUporabnik
JOIN PostalCodes pc
    ON pc.ID = u.PostalCodeID
JOIN fitnessMapRegions rgn
    ON rgn.ID = pc.RegionID
JOIN Test te
    ON te.ID = r.IdTest
WHERE me.BaterijaTestov IN (SELECT ID FROM @Baterije)
  AND du.IdVloga = 10
  AND r.ConaBarva IN ('#9ac263', '#ffd54e', '#df3127')
GROUP BY
    rgn.Name,
    te.Ime
ORDER BY
    Regija,
    TestIme;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tc={27CA99E9-B9D0-4DB6-9B7E-D9517DFCF062}</author>
    <author>tc={FFBCDB00-2945-45C1-A471-2CFEEE31329C}</author>
  </authors>
  <commentList>
    <comment ref="A1" authorId="0" shapeId="0" xr:uid="{27CA99E9-B9D0-4DB6-9B7E-D9517DFCF062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TABLE_NAME FROM INFORMATION_SCHEMA.TABLES where TABLE_NAME like '%regi%'  --WHERE TABLE_TYPE='BASE TABLE'
select top 945 * from FitnessMapStates --212 občin
select top 45 * from FitnessMapRegions --12 regij
select top 945 * from FitnessMapStateInRegion --212 povezav
select top 945 * from PostalCodes -- 483 pošte</t>
      </text>
    </comment>
    <comment ref="E1" authorId="1" shapeId="0" xr:uid="{FFBCDB00-2945-45C1-A471-2CFEEE31329C}">
      <text>
        <t>[Threaded comment]
Your version of Excel allows you to read this threaded comment; however, any edits to it will get removed if the file is opened in a newer version of Excel. Learn more: https://go.microsoft.com/fwlink/?linkid=870924
Comment:
    ALTER TABLE postalCodes ADD RegionID INT;
ALTER TABLE postalCodes
ADD CONSTRAINT FK_postalCodes_Region
FOREIGN KEY (RegionID)
REFERENCES fitnessMapRegions(ID);</t>
      </text>
    </comment>
  </commentList>
</comments>
</file>

<file path=xl/sharedStrings.xml><?xml version="1.0" encoding="utf-8"?>
<sst xmlns="http://schemas.openxmlformats.org/spreadsheetml/2006/main" count="1693" uniqueCount="545">
  <si>
    <t>ID</t>
  </si>
  <si>
    <t>Code</t>
  </si>
  <si>
    <t>Name</t>
  </si>
  <si>
    <t>Regija</t>
  </si>
  <si>
    <t>Regija.id</t>
  </si>
  <si>
    <t>Begunje na Gorenjskem</t>
  </si>
  <si>
    <t>Gorenjska</t>
  </si>
  <si>
    <t>Bled</t>
  </si>
  <si>
    <t>Blejska Dobrava</t>
  </si>
  <si>
    <t>Bohinjska Bela</t>
  </si>
  <si>
    <t>Bohinjska Bistrica</t>
  </si>
  <si>
    <t>Bohinjsko jezero</t>
  </si>
  <si>
    <t>Brezje</t>
  </si>
  <si>
    <t>Brnik - aerodrom</t>
  </si>
  <si>
    <t>Cerklje na Gorenjskem</t>
  </si>
  <si>
    <t>Duplje</t>
  </si>
  <si>
    <t>Golnik</t>
  </si>
  <si>
    <t>Gorenja vas</t>
  </si>
  <si>
    <t>Gozd Martuljek</t>
  </si>
  <si>
    <t>Hrušica</t>
  </si>
  <si>
    <t>Jesenice</t>
  </si>
  <si>
    <t>Kamna Gorica</t>
  </si>
  <si>
    <t>Kranj</t>
  </si>
  <si>
    <t>Kranj - poštni predali</t>
  </si>
  <si>
    <t>Kranjska Gora</t>
  </si>
  <si>
    <t>Križe</t>
  </si>
  <si>
    <t>Kropa</t>
  </si>
  <si>
    <t>Lesce</t>
  </si>
  <si>
    <t>Mavčiče</t>
  </si>
  <si>
    <t>Mojstrana</t>
  </si>
  <si>
    <t>Naklo</t>
  </si>
  <si>
    <t>Podnart</t>
  </si>
  <si>
    <t>Poljane nad Škofjo Loko</t>
  </si>
  <si>
    <t>Preddvor</t>
  </si>
  <si>
    <t>Radovljica</t>
  </si>
  <si>
    <t>Rateče - Planica</t>
  </si>
  <si>
    <t>Selca</t>
  </si>
  <si>
    <t>Sorica</t>
  </si>
  <si>
    <t>Sovodenj</t>
  </si>
  <si>
    <t>Srednja vas v Bohinju</t>
  </si>
  <si>
    <t>Šenčur</t>
  </si>
  <si>
    <t>Škofja Loka</t>
  </si>
  <si>
    <t>Tržič</t>
  </si>
  <si>
    <t>Visoko</t>
  </si>
  <si>
    <t>Zgornja Besnica</t>
  </si>
  <si>
    <t>Zgornje Gorje</t>
  </si>
  <si>
    <t>Zgornje Jezersko</t>
  </si>
  <si>
    <t>Žabnica</t>
  </si>
  <si>
    <t>Železniki</t>
  </si>
  <si>
    <t>Žiri</t>
  </si>
  <si>
    <t>Žirovnica</t>
  </si>
  <si>
    <t>Ajdovščina</t>
  </si>
  <si>
    <t>Goriška</t>
  </si>
  <si>
    <t>Bovec</t>
  </si>
  <si>
    <t>Branik</t>
  </si>
  <si>
    <t>Breginj</t>
  </si>
  <si>
    <t>Cerkno</t>
  </si>
  <si>
    <t>Col</t>
  </si>
  <si>
    <t>Čepovan</t>
  </si>
  <si>
    <t>Črni Vrh nad Idrijo</t>
  </si>
  <si>
    <t>Črniče</t>
  </si>
  <si>
    <t>Deskle</t>
  </si>
  <si>
    <t>Dobravlje</t>
  </si>
  <si>
    <t>Dobrovo v Brdih</t>
  </si>
  <si>
    <t>Dornberk</t>
  </si>
  <si>
    <t>Godovič</t>
  </si>
  <si>
    <t>Grahovo ob Bači</t>
  </si>
  <si>
    <t>Grgar</t>
  </si>
  <si>
    <t>Idrija</t>
  </si>
  <si>
    <t>Kal nad Kanalom</t>
  </si>
  <si>
    <t>Kanal</t>
  </si>
  <si>
    <t>Kobarid</t>
  </si>
  <si>
    <t>Kojsko</t>
  </si>
  <si>
    <t>Kostanjevica na Krasu</t>
  </si>
  <si>
    <t>Log pod Mangartom</t>
  </si>
  <si>
    <t>Miren</t>
  </si>
  <si>
    <t>Most na Soči</t>
  </si>
  <si>
    <t>Nova Gorica</t>
  </si>
  <si>
    <t>Nova Gorica - poštni predali</t>
  </si>
  <si>
    <t>Podbrdo</t>
  </si>
  <si>
    <t>Podnanos</t>
  </si>
  <si>
    <t>Prvačina</t>
  </si>
  <si>
    <t>Renče</t>
  </si>
  <si>
    <t>Ročinj</t>
  </si>
  <si>
    <t>Slap ob Idrijci</t>
  </si>
  <si>
    <t>Soča</t>
  </si>
  <si>
    <t>Solkan</t>
  </si>
  <si>
    <t>Spodnja Idrija</t>
  </si>
  <si>
    <t>Srpenica</t>
  </si>
  <si>
    <t>Šempas</t>
  </si>
  <si>
    <t>Šempeter pri Gorici</t>
  </si>
  <si>
    <t>Tolmin</t>
  </si>
  <si>
    <t>Trnovo pri Gorici</t>
  </si>
  <si>
    <t>Vipava</t>
  </si>
  <si>
    <t>Volčja Draga</t>
  </si>
  <si>
    <t>Adlešiči</t>
  </si>
  <si>
    <t>Jugovzhodna Slovenija</t>
  </si>
  <si>
    <t>Brusnice</t>
  </si>
  <si>
    <t>Bučka</t>
  </si>
  <si>
    <t>Črnomelj</t>
  </si>
  <si>
    <t>Dobrnič</t>
  </si>
  <si>
    <t>Dolenja vas</t>
  </si>
  <si>
    <t>Dolenjske Toplice</t>
  </si>
  <si>
    <t>Draga</t>
  </si>
  <si>
    <t>Dragatuš</t>
  </si>
  <si>
    <t>Dvor</t>
  </si>
  <si>
    <t>Gradac</t>
  </si>
  <si>
    <t>Hinje</t>
  </si>
  <si>
    <t>Kočevje</t>
  </si>
  <si>
    <t>Kočevska Reka</t>
  </si>
  <si>
    <t>Kostanjevica na Krki</t>
  </si>
  <si>
    <t>Kostel</t>
  </si>
  <si>
    <t>Loški Potok</t>
  </si>
  <si>
    <t>Metlika</t>
  </si>
  <si>
    <t>Mirna</t>
  </si>
  <si>
    <t>Mirna Peč</t>
  </si>
  <si>
    <t>Mokronog</t>
  </si>
  <si>
    <t>Novo mesto</t>
  </si>
  <si>
    <t>Novo mesto - poštni predali</t>
  </si>
  <si>
    <t>Ortnek</t>
  </si>
  <si>
    <t>Osilnica</t>
  </si>
  <si>
    <t>Otočec</t>
  </si>
  <si>
    <t>Podbočje</t>
  </si>
  <si>
    <t>Ribnica</t>
  </si>
  <si>
    <t>Semič</t>
  </si>
  <si>
    <t>Sodražica</t>
  </si>
  <si>
    <t>Stara Cerkev</t>
  </si>
  <si>
    <t>Stari trg ob Kolpi</t>
  </si>
  <si>
    <t>Stopiče</t>
  </si>
  <si>
    <t>Straža</t>
  </si>
  <si>
    <t>Suhor</t>
  </si>
  <si>
    <t>Šentjernej</t>
  </si>
  <si>
    <t>Šentrupert</t>
  </si>
  <si>
    <t>Škocjan</t>
  </si>
  <si>
    <t>Šmarješke Toplice</t>
  </si>
  <si>
    <t>Trebelno</t>
  </si>
  <si>
    <t>Trebnje</t>
  </si>
  <si>
    <t>Uršna sela</t>
  </si>
  <si>
    <t>Velika Loka</t>
  </si>
  <si>
    <t>Veliki Gaber</t>
  </si>
  <si>
    <t>Vinica</t>
  </si>
  <si>
    <t>Žužemberk</t>
  </si>
  <si>
    <t>Črna na Koroškem</t>
  </si>
  <si>
    <t>Koroška</t>
  </si>
  <si>
    <t>Dravograd</t>
  </si>
  <si>
    <t>Kotlje</t>
  </si>
  <si>
    <t>Libeliče</t>
  </si>
  <si>
    <t>Mežica</t>
  </si>
  <si>
    <t>Mislinja</t>
  </si>
  <si>
    <t>Muta</t>
  </si>
  <si>
    <t>Podgorje pri Slovenj Gradcu</t>
  </si>
  <si>
    <t>Podvelka</t>
  </si>
  <si>
    <t>Prevalje</t>
  </si>
  <si>
    <t>Radlje ob Dravi</t>
  </si>
  <si>
    <t>Ravne na Koroškem</t>
  </si>
  <si>
    <t>Ribnica na Pohorju</t>
  </si>
  <si>
    <t>Slovenj Gradec</t>
  </si>
  <si>
    <t>Šentjanž pri Dravogradu</t>
  </si>
  <si>
    <t>Šmartno pri Slovenj Gradcu</t>
  </si>
  <si>
    <t>Trbonje</t>
  </si>
  <si>
    <t>Vuhred</t>
  </si>
  <si>
    <t>Vuzenica</t>
  </si>
  <si>
    <t>Ankaran/Ancarano</t>
  </si>
  <si>
    <t>Obalno-kraška</t>
  </si>
  <si>
    <t>Črni Kal</t>
  </si>
  <si>
    <t>Dekani</t>
  </si>
  <si>
    <t>Divača</t>
  </si>
  <si>
    <t>Dutovlje</t>
  </si>
  <si>
    <t>Gračišče</t>
  </si>
  <si>
    <t>Izola/Isola</t>
  </si>
  <si>
    <t>Komen</t>
  </si>
  <si>
    <t>Koper - Capodistria</t>
  </si>
  <si>
    <t>Koper - Capodistria - poštni predali</t>
  </si>
  <si>
    <t>Kozina</t>
  </si>
  <si>
    <t>Lokev</t>
  </si>
  <si>
    <t>Marezige</t>
  </si>
  <si>
    <t>Materija</t>
  </si>
  <si>
    <t>Obrov</t>
  </si>
  <si>
    <t>Piran/Pirano</t>
  </si>
  <si>
    <t>Pobegi</t>
  </si>
  <si>
    <t>Podgorje</t>
  </si>
  <si>
    <t>Podgrad</t>
  </si>
  <si>
    <t>Portorož/Portorose</t>
  </si>
  <si>
    <t>Sečovlje/Sicciole</t>
  </si>
  <si>
    <t>Senožeče</t>
  </si>
  <si>
    <t>Sežana</t>
  </si>
  <si>
    <t>Škofije</t>
  </si>
  <si>
    <t>Šmarje</t>
  </si>
  <si>
    <t>Štanjel</t>
  </si>
  <si>
    <t>Vremski Britof</t>
  </si>
  <si>
    <t>Blagovica</t>
  </si>
  <si>
    <t>Osrednjeslovenska</t>
  </si>
  <si>
    <t>Borovnica</t>
  </si>
  <si>
    <t>Brezovica pri Ljubljani</t>
  </si>
  <si>
    <t>Dob</t>
  </si>
  <si>
    <t>Dobrova</t>
  </si>
  <si>
    <t>Dol pri Ljubljani</t>
  </si>
  <si>
    <t>Dole pri Litiji</t>
  </si>
  <si>
    <t>Domžale</t>
  </si>
  <si>
    <t>Gabrovka</t>
  </si>
  <si>
    <t>Grosuplje</t>
  </si>
  <si>
    <t>Horjul</t>
  </si>
  <si>
    <t>Hotedršica</t>
  </si>
  <si>
    <t>Ig</t>
  </si>
  <si>
    <t>Ivančna Gorica</t>
  </si>
  <si>
    <t>Kamnik</t>
  </si>
  <si>
    <t>Komenda</t>
  </si>
  <si>
    <t>Kresnice</t>
  </si>
  <si>
    <t>Krka</t>
  </si>
  <si>
    <t>Laze v Tuhinju</t>
  </si>
  <si>
    <t>Litija</t>
  </si>
  <si>
    <t>Ljubljana</t>
  </si>
  <si>
    <t>Ljubljana - poštni predali</t>
  </si>
  <si>
    <t>Ljubljana - Črnuče</t>
  </si>
  <si>
    <t>Ljubljana - Dobrunje</t>
  </si>
  <si>
    <t>Ljubljana - Polje</t>
  </si>
  <si>
    <t>Ljubljana - poštni center</t>
  </si>
  <si>
    <t>Ljubljana - Šentvid</t>
  </si>
  <si>
    <t>Ljubljana - Šmartno</t>
  </si>
  <si>
    <t>Log pri Brezovici</t>
  </si>
  <si>
    <t>Logatec</t>
  </si>
  <si>
    <t>Lukovica</t>
  </si>
  <si>
    <t>Medvode</t>
  </si>
  <si>
    <t>Mengeš</t>
  </si>
  <si>
    <t>Moravče</t>
  </si>
  <si>
    <t>Motnik</t>
  </si>
  <si>
    <t>Notranje Gorice</t>
  </si>
  <si>
    <t>Polhov Gradec</t>
  </si>
  <si>
    <t>Polšnik</t>
  </si>
  <si>
    <t>Preserje</t>
  </si>
  <si>
    <t>Primskovo</t>
  </si>
  <si>
    <t>Radomlje</t>
  </si>
  <si>
    <t>Rob</t>
  </si>
  <si>
    <t>Rovte</t>
  </si>
  <si>
    <t>Sava</t>
  </si>
  <si>
    <t>Smlednik</t>
  </si>
  <si>
    <t>Stahovica</t>
  </si>
  <si>
    <t>Struge</t>
  </si>
  <si>
    <t>Šentvid pri Stični</t>
  </si>
  <si>
    <t>Škofljica</t>
  </si>
  <si>
    <t>Šmarje - Sap</t>
  </si>
  <si>
    <t>Šmartno pri Litiji</t>
  </si>
  <si>
    <t>Trojane</t>
  </si>
  <si>
    <t>Trzin</t>
  </si>
  <si>
    <t>Turjak</t>
  </si>
  <si>
    <t>Vače</t>
  </si>
  <si>
    <t>Velike Lašče</t>
  </si>
  <si>
    <t>Videm - Dobrepolje</t>
  </si>
  <si>
    <t>Višnja Gora</t>
  </si>
  <si>
    <t>Vodice</t>
  </si>
  <si>
    <t>Vrhnika</t>
  </si>
  <si>
    <t>Zagradec</t>
  </si>
  <si>
    <t>Benedikt</t>
  </si>
  <si>
    <t>Podravska</t>
  </si>
  <si>
    <t>Bistrica ob Dravi</t>
  </si>
  <si>
    <t>Bresternica</t>
  </si>
  <si>
    <t>Cerkvenjak</t>
  </si>
  <si>
    <t>Ceršak</t>
  </si>
  <si>
    <t>Cirkovce</t>
  </si>
  <si>
    <t>Cirkulane</t>
  </si>
  <si>
    <t>Destrnik</t>
  </si>
  <si>
    <t>Dornava</t>
  </si>
  <si>
    <t>Fala</t>
  </si>
  <si>
    <t>Fram</t>
  </si>
  <si>
    <t>Gorišnica</t>
  </si>
  <si>
    <t>Hajdina</t>
  </si>
  <si>
    <t>Hoče</t>
  </si>
  <si>
    <t>Ivanjkovci</t>
  </si>
  <si>
    <t>Jakobski Dol</t>
  </si>
  <si>
    <t>Jarenina</t>
  </si>
  <si>
    <t>Jurovski Dol</t>
  </si>
  <si>
    <t>Juršinci</t>
  </si>
  <si>
    <t>Kamnica</t>
  </si>
  <si>
    <t>Kapla</t>
  </si>
  <si>
    <t>Kidričevo</t>
  </si>
  <si>
    <t>Kog</t>
  </si>
  <si>
    <t>Laporje</t>
  </si>
  <si>
    <t>Lenart v Slovenskih goricah</t>
  </si>
  <si>
    <t>Limbuš</t>
  </si>
  <si>
    <t>Lovrenc na Dravskem polju</t>
  </si>
  <si>
    <t>Lovrenc na Pohorju</t>
  </si>
  <si>
    <t>Majšperk</t>
  </si>
  <si>
    <t>Makole</t>
  </si>
  <si>
    <t>Malečnik</t>
  </si>
  <si>
    <t>Maribor</t>
  </si>
  <si>
    <t>Maribor - poštni predali</t>
  </si>
  <si>
    <t>Marjeta na Dravskem polju</t>
  </si>
  <si>
    <t>Markovci</t>
  </si>
  <si>
    <t>Miklavž na Dravskem polju</t>
  </si>
  <si>
    <t>Miklavž pri Ormožu</t>
  </si>
  <si>
    <t>Oplotnica</t>
  </si>
  <si>
    <t>Orehova vas</t>
  </si>
  <si>
    <t>Ormož</t>
  </si>
  <si>
    <t>Ožbalt</t>
  </si>
  <si>
    <t>Pernica</t>
  </si>
  <si>
    <t>Pesnica pri Mariboru</t>
  </si>
  <si>
    <t>Podgorci</t>
  </si>
  <si>
    <t>Podlehnik</t>
  </si>
  <si>
    <t>Pohorje</t>
  </si>
  <si>
    <t>Polenšak</t>
  </si>
  <si>
    <t>Poljčane</t>
  </si>
  <si>
    <t>Pragersko</t>
  </si>
  <si>
    <t>Ptuj</t>
  </si>
  <si>
    <t>Ptujska Gora</t>
  </si>
  <si>
    <t>Rače</t>
  </si>
  <si>
    <t>Ruše</t>
  </si>
  <si>
    <t>Selnica ob Dravi</t>
  </si>
  <si>
    <t>Sladki Vrh</t>
  </si>
  <si>
    <t>Slovenska Bistrica</t>
  </si>
  <si>
    <t>Spodnji Duplek</t>
  </si>
  <si>
    <t>Središče ob Dravi</t>
  </si>
  <si>
    <t>Starše</t>
  </si>
  <si>
    <t>Stoperce</t>
  </si>
  <si>
    <t>Sv. Duh na Ostrem Vrhu</t>
  </si>
  <si>
    <t>Sveta Ana v Slovenskih goricah</t>
  </si>
  <si>
    <t>Sveta Trojica v Slovenskih goricah</t>
  </si>
  <si>
    <t>Sveti Tomaž</t>
  </si>
  <si>
    <t>Šentilj v Slovenskih goricah</t>
  </si>
  <si>
    <t>Šmartno na Pohorju</t>
  </si>
  <si>
    <t>Trnovska vas</t>
  </si>
  <si>
    <t>Velika Nedelja</t>
  </si>
  <si>
    <t>Videm pri Ptuju</t>
  </si>
  <si>
    <t>Vitomarci</t>
  </si>
  <si>
    <t>Voličina</t>
  </si>
  <si>
    <t>Zavrč</t>
  </si>
  <si>
    <t>Zgornja Korena</t>
  </si>
  <si>
    <t>Zgornja Kungota</t>
  </si>
  <si>
    <t>Zgornja Ložnica</t>
  </si>
  <si>
    <t>Zgornja Polskava</t>
  </si>
  <si>
    <t>Zgornja Velka</t>
  </si>
  <si>
    <t>Zgornji Leskovec</t>
  </si>
  <si>
    <t>Žetale</t>
  </si>
  <si>
    <t>Apače</t>
  </si>
  <si>
    <t>Pomurska</t>
  </si>
  <si>
    <t>Beltinci</t>
  </si>
  <si>
    <t>Bodonci</t>
  </si>
  <si>
    <t>Bogojina</t>
  </si>
  <si>
    <t>Cankova</t>
  </si>
  <si>
    <t>Črenšovci</t>
  </si>
  <si>
    <t>Dobrovnik/Dobronak</t>
  </si>
  <si>
    <t>Fokovci</t>
  </si>
  <si>
    <t>Gornja Radgona</t>
  </si>
  <si>
    <t>Grad</t>
  </si>
  <si>
    <t>Hodoš/Hodos</t>
  </si>
  <si>
    <t>Kobilje</t>
  </si>
  <si>
    <t>Križevci</t>
  </si>
  <si>
    <t>Križevci pri Ljutomeru</t>
  </si>
  <si>
    <t>Kuzma</t>
  </si>
  <si>
    <t>Lendava/Lendva</t>
  </si>
  <si>
    <t>Ljutomer</t>
  </si>
  <si>
    <t>Mačkovci</t>
  </si>
  <si>
    <t>Mala Nedelja</t>
  </si>
  <si>
    <t>Martjanci</t>
  </si>
  <si>
    <t>Moravske Toplice</t>
  </si>
  <si>
    <t>Murska Sobota</t>
  </si>
  <si>
    <t>Murska Sobota - poštni predali</t>
  </si>
  <si>
    <t>Odranci</t>
  </si>
  <si>
    <t>Petrovci</t>
  </si>
  <si>
    <t>Prosenjakovci/Partosfalva</t>
  </si>
  <si>
    <t>Puconci</t>
  </si>
  <si>
    <t>Radenci</t>
  </si>
  <si>
    <t>Razkrižje</t>
  </si>
  <si>
    <t>Rogašovci</t>
  </si>
  <si>
    <t>Spodnji Ivanjci</t>
  </si>
  <si>
    <t>Sveti Jurij ob Ščavnici</t>
  </si>
  <si>
    <t>Šalovci</t>
  </si>
  <si>
    <t>Tišina</t>
  </si>
  <si>
    <t>Turnišče</t>
  </si>
  <si>
    <t>Velika Polana</t>
  </si>
  <si>
    <t>Veržej</t>
  </si>
  <si>
    <t>Artiče</t>
  </si>
  <si>
    <t>Posavska</t>
  </si>
  <si>
    <t>Bizeljsko</t>
  </si>
  <si>
    <t>Blanca</t>
  </si>
  <si>
    <t>Boštanj</t>
  </si>
  <si>
    <t>Brestanica</t>
  </si>
  <si>
    <t>Brežice</t>
  </si>
  <si>
    <t>Cerklje ob Krki</t>
  </si>
  <si>
    <t>Čatež ob Savi</t>
  </si>
  <si>
    <t>Dobova</t>
  </si>
  <si>
    <t>Globoko</t>
  </si>
  <si>
    <t>Jesenice na Dolenjskem</t>
  </si>
  <si>
    <t>Kapele</t>
  </si>
  <si>
    <t>Koprivnica</t>
  </si>
  <si>
    <t>Krmelj</t>
  </si>
  <si>
    <t>Krška vas</t>
  </si>
  <si>
    <t>Krško</t>
  </si>
  <si>
    <t>Leskovec pri Krškem</t>
  </si>
  <si>
    <t>Loka pri Zidanem Mostu</t>
  </si>
  <si>
    <t>Pišece</t>
  </si>
  <si>
    <t>Radeče</t>
  </si>
  <si>
    <t>Raka</t>
  </si>
  <si>
    <t>Senovo</t>
  </si>
  <si>
    <t>Sevnica</t>
  </si>
  <si>
    <t>Sromlje</t>
  </si>
  <si>
    <t>Studenec</t>
  </si>
  <si>
    <t>Šentjanž</t>
  </si>
  <si>
    <t>Tržišče</t>
  </si>
  <si>
    <t>Zabukovje</t>
  </si>
  <si>
    <t>Zdole</t>
  </si>
  <si>
    <t>Zidani Most</t>
  </si>
  <si>
    <t>Begunje pri Cerknici</t>
  </si>
  <si>
    <t>Primorsko-notranjska</t>
  </si>
  <si>
    <t>Cerknica</t>
  </si>
  <si>
    <t>Grahovo</t>
  </si>
  <si>
    <t>Hruševje</t>
  </si>
  <si>
    <t>Ilirska Bistrica</t>
  </si>
  <si>
    <t>Ilirska Bistrica - Trnovo</t>
  </si>
  <si>
    <t>Jelšane</t>
  </si>
  <si>
    <t>Knežak</t>
  </si>
  <si>
    <t>Košana</t>
  </si>
  <si>
    <t>Nova vas</t>
  </si>
  <si>
    <t>Pivka</t>
  </si>
  <si>
    <t>Planina</t>
  </si>
  <si>
    <t>Postojna</t>
  </si>
  <si>
    <t>Prem</t>
  </si>
  <si>
    <t>Prestranek</t>
  </si>
  <si>
    <t>Rakek</t>
  </si>
  <si>
    <t>Stari trg pri Ložu</t>
  </si>
  <si>
    <t>Bistrica ob Sotli</t>
  </si>
  <si>
    <t>Savinjska</t>
  </si>
  <si>
    <t>Braslovče</t>
  </si>
  <si>
    <t>Buče</t>
  </si>
  <si>
    <t>Celje</t>
  </si>
  <si>
    <t>Celje - poštni predali</t>
  </si>
  <si>
    <t>Dobje pri Planini</t>
  </si>
  <si>
    <t>Dobrna</t>
  </si>
  <si>
    <t>Dramlje</t>
  </si>
  <si>
    <t>Frankolovo</t>
  </si>
  <si>
    <t>Gomilsko</t>
  </si>
  <si>
    <t>Gorica pri Slivnici</t>
  </si>
  <si>
    <t>Gornji Grad</t>
  </si>
  <si>
    <t>Griže</t>
  </si>
  <si>
    <t>Grobelno</t>
  </si>
  <si>
    <t>Jurklošter</t>
  </si>
  <si>
    <t>Kalobje</t>
  </si>
  <si>
    <t>Kozje</t>
  </si>
  <si>
    <t>Laško</t>
  </si>
  <si>
    <t>Lesično</t>
  </si>
  <si>
    <t>Ljubečna</t>
  </si>
  <si>
    <t>Ljubno ob Savinji</t>
  </si>
  <si>
    <t>Loče</t>
  </si>
  <si>
    <t>Loka pri Žusmu</t>
  </si>
  <si>
    <t>Luče</t>
  </si>
  <si>
    <t>Mozirje</t>
  </si>
  <si>
    <t>Nazarje</t>
  </si>
  <si>
    <t>Nova Cerkev</t>
  </si>
  <si>
    <t>Petrovče</t>
  </si>
  <si>
    <t>Planina pri Sevnici</t>
  </si>
  <si>
    <t>Podčetrtek</t>
  </si>
  <si>
    <t>Podplat</t>
  </si>
  <si>
    <t>Podsreda</t>
  </si>
  <si>
    <t>Polzela</t>
  </si>
  <si>
    <t>Ponikva</t>
  </si>
  <si>
    <t>Prebold</t>
  </si>
  <si>
    <t>Prevorje</t>
  </si>
  <si>
    <t>Pristava pri Mestinju</t>
  </si>
  <si>
    <t>Rečica ob Savinji</t>
  </si>
  <si>
    <t>Rimske Toplice</t>
  </si>
  <si>
    <t>Rogaška Slatina</t>
  </si>
  <si>
    <t>Rogatec</t>
  </si>
  <si>
    <t>Slovenske Konjice</t>
  </si>
  <si>
    <t>Solčava</t>
  </si>
  <si>
    <t>Stranice</t>
  </si>
  <si>
    <t>Sveti Štefan</t>
  </si>
  <si>
    <t>Šempeter v Savinjski dolini</t>
  </si>
  <si>
    <t>Šentjur</t>
  </si>
  <si>
    <t>Škofja vas</t>
  </si>
  <si>
    <t>Šmarje pri Jelšah</t>
  </si>
  <si>
    <t>Šmartno ob Dreti</t>
  </si>
  <si>
    <t>Šmartno ob Paki</t>
  </si>
  <si>
    <t>Šmartno v Rožni dolini</t>
  </si>
  <si>
    <t>Šoštanj</t>
  </si>
  <si>
    <t>Štore</t>
  </si>
  <si>
    <t>Tabor</t>
  </si>
  <si>
    <t>Teharje</t>
  </si>
  <si>
    <t>Topolšica</t>
  </si>
  <si>
    <t>Velenje</t>
  </si>
  <si>
    <t>Vitanje</t>
  </si>
  <si>
    <t>Vojnik</t>
  </si>
  <si>
    <t>Vransko</t>
  </si>
  <si>
    <t>Zreče</t>
  </si>
  <si>
    <t>Žalec</t>
  </si>
  <si>
    <t>(tujina)</t>
  </si>
  <si>
    <t>Tujina</t>
  </si>
  <si>
    <t>zamejstvo - Italija</t>
  </si>
  <si>
    <t>Zamejstvo</t>
  </si>
  <si>
    <t>zamejstvo - Avstrija</t>
  </si>
  <si>
    <t>zamejstvo - Hrvaška</t>
  </si>
  <si>
    <t>zamejstvo - Madžarska</t>
  </si>
  <si>
    <t>Čemšenik</t>
  </si>
  <si>
    <t>Zasavska</t>
  </si>
  <si>
    <t>Dobovec</t>
  </si>
  <si>
    <t>Dol pri Hrastniku</t>
  </si>
  <si>
    <t>Hrastnik</t>
  </si>
  <si>
    <t>Izlake</t>
  </si>
  <si>
    <t>Kisovec</t>
  </si>
  <si>
    <t>Podkum</t>
  </si>
  <si>
    <t>Trbovlje</t>
  </si>
  <si>
    <t>Zagorje ob Savi</t>
  </si>
  <si>
    <t>x1</t>
  </si>
  <si>
    <t>x2</t>
  </si>
  <si>
    <t>Meritev.id</t>
  </si>
  <si>
    <t>Opomba</t>
  </si>
  <si>
    <t>FŠ odrasli 13.2.2026</t>
  </si>
  <si>
    <t>Slovenija</t>
  </si>
  <si>
    <t>Test</t>
  </si>
  <si>
    <t>Zdravo</t>
  </si>
  <si>
    <t>Mejno</t>
  </si>
  <si>
    <t>Tvegano</t>
  </si>
  <si>
    <t>Indeks telesne mase</t>
  </si>
  <si>
    <t>CentilXA</t>
  </si>
  <si>
    <t>Geo_enota</t>
  </si>
  <si>
    <t>ReportDocName</t>
  </si>
  <si>
    <t>Fšfebr2026_odrasli</t>
  </si>
  <si>
    <t>sum</t>
  </si>
  <si>
    <t>N</t>
  </si>
  <si>
    <t>6-minutni test hoje</t>
  </si>
  <si>
    <t>Dotikanje plošč z roko</t>
  </si>
  <si>
    <t>Navpični skok</t>
  </si>
  <si>
    <t>Obseg pasu</t>
  </si>
  <si>
    <t>Predklon sede</t>
  </si>
  <si>
    <t>Stisk pesti</t>
  </si>
  <si>
    <t>Tek na 600 m</t>
  </si>
  <si>
    <t>Tek v osmici</t>
  </si>
  <si>
    <t>Telesna masa</t>
  </si>
  <si>
    <t>Telesna višina</t>
  </si>
  <si>
    <t>Upogibanje trupa</t>
  </si>
  <si>
    <t>Vesa v zgibi</t>
  </si>
  <si>
    <t>sql</t>
  </si>
  <si>
    <t>Row Labels</t>
  </si>
  <si>
    <t>Grand Total</t>
  </si>
  <si>
    <t>Average of CentilXA</t>
  </si>
  <si>
    <t>Average of Mejno%</t>
  </si>
  <si>
    <t>Average of Tvegano%</t>
  </si>
  <si>
    <t>Datum</t>
  </si>
  <si>
    <t>IzvajalecNaziv</t>
  </si>
  <si>
    <t>Administrator</t>
  </si>
  <si>
    <t>BaterijaTestovIme</t>
  </si>
  <si>
    <t>RegijaName</t>
  </si>
  <si>
    <t>Merjencev</t>
  </si>
  <si>
    <t>13. 02. 2026 00:00:00</t>
  </si>
  <si>
    <t>Fakulteta za šport, UL</t>
  </si>
  <si>
    <t>Premelč Jerneja</t>
  </si>
  <si>
    <t>Telesna zmogljivost odrasli + VZG in T600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</si>
</sst>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" x14ac:knownFonts="1">
    <font>
      <sz val="11"/>
      <color theme="1"/>
      <name val="Aptos Narrow"/>
      <family val="2"/>
      <scheme val="minor"/>
    </font>
    <font>
      <sz val="11"/>
      <name val="Arial CE"/>
      <charset val="238"/>
    </font>
    <font>
      <sz val="11"/>
      <name val="Arial CE"/>
      <family val="2"/>
      <charset val="238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9">
    <xf numFmtId="0" fontId="0" fillId="0" borderId="0" xfId="0"/>
    <xf numFmtId="0" fontId="2" fillId="2" borderId="0" xfId="1" applyFont="1" applyFill="1"/>
    <xf numFmtId="0" fontId="0" fillId="0" borderId="1" xfId="0" applyBorder="1"/>
    <xf numFmtId="9" fontId="0" fillId="0" borderId="0" xfId="2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  <xf numFmtId="165" fontId="0" fillId="0" borderId="0" xfId="0" applyNumberFormat="1"/>
  </cellXfs>
  <cellStyles count="3">
    <cellStyle name="Normal" xfId="0" builtinId="0"/>
    <cellStyle name="Normal 2" xfId="1" xr:uid="{BDBFD1E4-62EC-41BE-B39B-390F134CCF6B}"/>
    <cellStyle name="Percent" xfId="2" builtinId="5"/>
  </cellStyles>
  <dxfs count="1">
    <dxf>
      <numFmt numFmtId="165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[reportOKSanaliza.xlsx]Centili!PivotTable1</c:name>
    <c:fmtId val="0"/>
  </c:pivotSource>
  <c:chart>
    <c:title>
      <c:tx>
        <c:strRef>
          <c:f>Centili!$I$2</c:f>
          <c:strCache>
            <c:ptCount val="1"/>
            <c:pt idx="0">
              <c:v>6-minutni test hoje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Centili!$I$2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2671-4D7C-9A62-B8B24505F2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I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Centili!$I$2</c:f>
              <c:strCache>
                <c:ptCount val="13"/>
                <c:pt idx="0">
                  <c:v>Gorenjska</c:v>
                </c:pt>
                <c:pt idx="1">
                  <c:v>Goriška</c:v>
                </c:pt>
                <c:pt idx="2">
                  <c:v>Jugovzhodna Slovenija</c:v>
                </c:pt>
                <c:pt idx="3">
                  <c:v>Koroška</c:v>
                </c:pt>
                <c:pt idx="4">
                  <c:v>Obalno-kraška</c:v>
                </c:pt>
                <c:pt idx="5">
                  <c:v>Osrednjeslovenska</c:v>
                </c:pt>
                <c:pt idx="6">
                  <c:v>Podravska</c:v>
                </c:pt>
                <c:pt idx="7">
                  <c:v>Pomurska</c:v>
                </c:pt>
                <c:pt idx="8">
                  <c:v>Posavska</c:v>
                </c:pt>
                <c:pt idx="9">
                  <c:v>Primorsko-notranjska</c:v>
                </c:pt>
                <c:pt idx="10">
                  <c:v>Savinjska</c:v>
                </c:pt>
                <c:pt idx="11">
                  <c:v>Slovenija</c:v>
                </c:pt>
                <c:pt idx="12">
                  <c:v>Zasavska</c:v>
                </c:pt>
              </c:strCache>
            </c:strRef>
          </c:cat>
          <c:val>
            <c:numRef>
              <c:f>Centili!$I$2</c:f>
              <c:numCache>
                <c:formatCode>0.0</c:formatCode>
                <c:ptCount val="13"/>
                <c:pt idx="0">
                  <c:v>47.213545978669501</c:v>
                </c:pt>
                <c:pt idx="1">
                  <c:v>49.2759144449562</c:v>
                </c:pt>
                <c:pt idx="2">
                  <c:v>45.754394202086303</c:v>
                </c:pt>
                <c:pt idx="3">
                  <c:v>38.9408789570046</c:v>
                </c:pt>
                <c:pt idx="4">
                  <c:v>42.328426016957202</c:v>
                </c:pt>
                <c:pt idx="5">
                  <c:v>43.466271724748701</c:v>
                </c:pt>
                <c:pt idx="6">
                  <c:v>56.857993241955697</c:v>
                </c:pt>
                <c:pt idx="7">
                  <c:v>56.042456384092503</c:v>
                </c:pt>
                <c:pt idx="8">
                  <c:v>37.202252778856902</c:v>
                </c:pt>
                <c:pt idx="9">
                  <c:v>49.362621388214997</c:v>
                </c:pt>
                <c:pt idx="10">
                  <c:v>52.909444525207498</c:v>
                </c:pt>
                <c:pt idx="11">
                  <c:v>44.1525868175721</c:v>
                </c:pt>
                <c:pt idx="12">
                  <c:v>47.4406647863958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AE-43CE-9EC4-5F43E5970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28207"/>
        <c:axId val="7725327"/>
      </c:barChart>
      <c:catAx>
        <c:axId val="772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7725327"/>
        <c:crosses val="autoZero"/>
        <c:auto val="1"/>
        <c:lblAlgn val="ctr"/>
        <c:lblOffset val="100"/>
        <c:noMultiLvlLbl val="0"/>
      </c:catAx>
      <c:valAx>
        <c:axId val="7725327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Povprečni centil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7728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[reportOKSanaliza.xlsx]Cone!PivotTable1</c:name>
    <c:fmtId val="0"/>
  </c:pivotSource>
  <c:chart>
    <c:title>
      <c:tx>
        <c:strRef>
          <c:f>Cone!$L$2</c:f>
          <c:strCache>
            <c:ptCount val="1"/>
            <c:pt idx="0">
              <c:v>6-minutni test hoje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 w="28575">
            <a:noFill/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Cone!$L$2</c:f>
              <c:strCache>
                <c:ptCount val="1"/>
                <c:pt idx="0">
                  <c:v>Average of Tvegano%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11"/>
            <c:invertIfNegative val="0"/>
            <c:bubble3D val="0"/>
            <c:spPr>
              <a:solidFill>
                <a:srgbClr val="FF0000"/>
              </a:solidFill>
              <a:ln w="2857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264-454D-8BD1-543C87141A81}"/>
              </c:ext>
            </c:extLst>
          </c:dPt>
          <c:cat>
            <c:strRef>
              <c:f>Cone!$L$2</c:f>
              <c:strCache>
                <c:ptCount val="13"/>
                <c:pt idx="0">
                  <c:v>Gorenjska</c:v>
                </c:pt>
                <c:pt idx="1">
                  <c:v>Goriška</c:v>
                </c:pt>
                <c:pt idx="2">
                  <c:v>Jugovzhodna Slovenija</c:v>
                </c:pt>
                <c:pt idx="3">
                  <c:v>Koroška</c:v>
                </c:pt>
                <c:pt idx="4">
                  <c:v>Obalno-kraška</c:v>
                </c:pt>
                <c:pt idx="5">
                  <c:v>Osrednjeslovenska</c:v>
                </c:pt>
                <c:pt idx="6">
                  <c:v>Podravska</c:v>
                </c:pt>
                <c:pt idx="7">
                  <c:v>Pomurska</c:v>
                </c:pt>
                <c:pt idx="8">
                  <c:v>Posavska</c:v>
                </c:pt>
                <c:pt idx="9">
                  <c:v>Primorsko-notranjska</c:v>
                </c:pt>
                <c:pt idx="10">
                  <c:v>Savinjska</c:v>
                </c:pt>
                <c:pt idx="11">
                  <c:v>Slovenija</c:v>
                </c:pt>
                <c:pt idx="12">
                  <c:v>Zasavska</c:v>
                </c:pt>
              </c:strCache>
            </c:strRef>
          </c:cat>
          <c:val>
            <c:numRef>
              <c:f>Cone!$L$2</c:f>
              <c:numCache>
                <c:formatCode>0.0%</c:formatCode>
                <c:ptCount val="13"/>
                <c:pt idx="0">
                  <c:v>0.1864406779661017</c:v>
                </c:pt>
                <c:pt idx="1">
                  <c:v>0.21794871794871795</c:v>
                </c:pt>
                <c:pt idx="2">
                  <c:v>0.25490196078431371</c:v>
                </c:pt>
                <c:pt idx="3">
                  <c:v>0.39473684210526316</c:v>
                </c:pt>
                <c:pt idx="4">
                  <c:v>0.32307692307692309</c:v>
                </c:pt>
                <c:pt idx="5">
                  <c:v>0.24878048780487805</c:v>
                </c:pt>
                <c:pt idx="6">
                  <c:v>0.14516129032258066</c:v>
                </c:pt>
                <c:pt idx="7">
                  <c:v>0.23684210526315788</c:v>
                </c:pt>
                <c:pt idx="8">
                  <c:v>0.19379844961240311</c:v>
                </c:pt>
                <c:pt idx="9">
                  <c:v>0.14285714285714285</c:v>
                </c:pt>
                <c:pt idx="10">
                  <c:v>0.203125</c:v>
                </c:pt>
                <c:pt idx="11">
                  <c:v>0.24783974862529459</c:v>
                </c:pt>
                <c:pt idx="12">
                  <c:v>0.22727272727272727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64-454D-8BD1-543C87141A81}"/>
            </c:ext>
          </c:extLst>
        </c:ser>
        <c:ser>
          <c:idx val="1"/>
          <c:order val="1"/>
          <c:tx>
            <c:strRef>
              <c:f>Cone!$L$2</c:f>
              <c:strCache>
                <c:ptCount val="1"/>
                <c:pt idx="0">
                  <c:v>Average of Mejno%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Cone!$L$2</c:f>
              <c:strCache>
                <c:ptCount val="13"/>
                <c:pt idx="0">
                  <c:v>Gorenjska</c:v>
                </c:pt>
                <c:pt idx="1">
                  <c:v>Goriška</c:v>
                </c:pt>
                <c:pt idx="2">
                  <c:v>Jugovzhodna Slovenija</c:v>
                </c:pt>
                <c:pt idx="3">
                  <c:v>Koroška</c:v>
                </c:pt>
                <c:pt idx="4">
                  <c:v>Obalno-kraška</c:v>
                </c:pt>
                <c:pt idx="5">
                  <c:v>Osrednjeslovenska</c:v>
                </c:pt>
                <c:pt idx="6">
                  <c:v>Podravska</c:v>
                </c:pt>
                <c:pt idx="7">
                  <c:v>Pomurska</c:v>
                </c:pt>
                <c:pt idx="8">
                  <c:v>Posavska</c:v>
                </c:pt>
                <c:pt idx="9">
                  <c:v>Primorsko-notranjska</c:v>
                </c:pt>
                <c:pt idx="10">
                  <c:v>Savinjska</c:v>
                </c:pt>
                <c:pt idx="11">
                  <c:v>Slovenija</c:v>
                </c:pt>
                <c:pt idx="12">
                  <c:v>Zasavska</c:v>
                </c:pt>
              </c:strCache>
            </c:strRef>
          </c:cat>
          <c:val>
            <c:numRef>
              <c:f>Cone!$L$2</c:f>
              <c:numCache>
                <c:formatCode>0.0%</c:formatCode>
                <c:ptCount val="13"/>
                <c:pt idx="0">
                  <c:v>0.16949152542372881</c:v>
                </c:pt>
                <c:pt idx="1">
                  <c:v>0.17948717948717949</c:v>
                </c:pt>
                <c:pt idx="2">
                  <c:v>0.14705882352941177</c:v>
                </c:pt>
                <c:pt idx="3">
                  <c:v>0.15789473684210525</c:v>
                </c:pt>
                <c:pt idx="4">
                  <c:v>9.2307692307692313E-2</c:v>
                </c:pt>
                <c:pt idx="5">
                  <c:v>0.2032520325203252</c:v>
                </c:pt>
                <c:pt idx="6">
                  <c:v>0.19354838709677419</c:v>
                </c:pt>
                <c:pt idx="7">
                  <c:v>0.21052631578947367</c:v>
                </c:pt>
                <c:pt idx="8">
                  <c:v>0.27906976744186046</c:v>
                </c:pt>
                <c:pt idx="9">
                  <c:v>0.14285714285714285</c:v>
                </c:pt>
                <c:pt idx="10">
                  <c:v>0.2109375</c:v>
                </c:pt>
                <c:pt idx="11">
                  <c:v>0.19285153181461115</c:v>
                </c:pt>
                <c:pt idx="12">
                  <c:v>0.31818181818181818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64-454D-8BD1-543C87141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696995311"/>
        <c:axId val="1696983311"/>
      </c:barChart>
      <c:catAx>
        <c:axId val="169699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696983311"/>
        <c:crosses val="autoZero"/>
        <c:auto val="1"/>
        <c:lblAlgn val="ctr"/>
        <c:lblOffset val="100"/>
        <c:noMultiLvlLbl val="0"/>
      </c:catAx>
      <c:valAx>
        <c:axId val="169698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696995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</xdr:colOff>
      <xdr:row>18</xdr:row>
      <xdr:rowOff>57150</xdr:rowOff>
    </xdr:from>
    <xdr:to>
      <xdr:col>14</xdr:col>
      <xdr:colOff>320040</xdr:colOff>
      <xdr:row>36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081447-4D25-1030-3227-960718B1FA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</xdr:colOff>
      <xdr:row>16</xdr:row>
      <xdr:rowOff>156210</xdr:rowOff>
    </xdr:from>
    <xdr:to>
      <xdr:col>18</xdr:col>
      <xdr:colOff>266700</xdr:colOff>
      <xdr:row>40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751ADB-F2A4-824B-DA81-780BDE6CAB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eskošek, Bojan" id="{B0A86080-3FF1-41DA-B9EB-1C8139C00CC1}" userId="S::Bojan.Leskosek@fsp.uni-lj.si::01467edb-a248-43f6-847c-bdc254055f4f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jan Leskošek" refreshedDate="46115.26942384259" createdVersion="8" refreshedVersion="8" minRefreshableVersion="3" recordCount="171" xr:uid="{595DB436-C5C2-41FC-8D84-021DB1358F00}">
  <cacheSource type="worksheet">
    <worksheetSource ref="A1:D172" sheet="Centili"/>
  </cacheSource>
  <cacheFields count="4">
    <cacheField name="Geo_enota" numFmtId="0">
      <sharedItems count="13">
        <s v="Slovenija"/>
        <s v="Gorenjska"/>
        <s v="Goriška"/>
        <s v="Jugovzhodna Slovenija"/>
        <s v="Koroška"/>
        <s v="Obalno-kraška"/>
        <s v="Osrednjeslovenska"/>
        <s v="Podravska"/>
        <s v="Pomurska"/>
        <s v="Posavska"/>
        <s v="Primorsko-notranjska"/>
        <s v="Savinjska"/>
        <s v="Zasavska"/>
      </sharedItems>
    </cacheField>
    <cacheField name="Test" numFmtId="0">
      <sharedItems count="22">
        <s v="6-minutni test hoje"/>
        <s v="Dotikanje plošč z roko"/>
        <s v="Indeks telesne mase"/>
        <s v="Navpični skok"/>
        <s v="Obseg pasu"/>
        <s v="Predklon sede"/>
        <s v="Stisk pesti"/>
        <s v="Tek na 600 m"/>
        <s v="Tek v osmici"/>
        <s v="Telesna masa"/>
        <s v="Telesna višina"/>
        <s v="Upogibanje trupa"/>
        <s v="Vesa v zgibi"/>
        <s v="Dviganje trupa" u="1"/>
        <s v="Indeks telesne zmogljivosti" u="1"/>
        <s v="Kožna guba nadlahti" u="1"/>
        <s v="Poligon nazaj" u="1"/>
        <s v="Predklon na klopci" u="1"/>
        <s v="Skok v daljino z mesta" u="1"/>
        <s v="Sorensenov test" u="1"/>
        <s v="Tek na 60 m" u="1"/>
        <s v="T-test" u="1"/>
      </sharedItems>
    </cacheField>
    <cacheField name="CentilXA" numFmtId="0">
      <sharedItems containsSemiMixedTypes="0" containsString="0" containsNumber="1" minValue="23.9110197355899" maxValue="87.685120282945505"/>
    </cacheField>
    <cacheField name="N" numFmtId="0">
      <sharedItems containsSemiMixedTypes="0" containsString="0" containsNumber="1" containsInteger="1" minValue="3" maxValue="425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jan Leskošek" refreshedDate="46115.336710532407" createdVersion="8" refreshedVersion="8" minRefreshableVersion="3" recordCount="143" xr:uid="{62DBB8F1-B9CF-435A-A5F6-CE2D0CA1F5C6}">
  <cacheSource type="worksheet">
    <worksheetSource ref="A1:I144" sheet="Cone"/>
  </cacheSource>
  <cacheFields count="9">
    <cacheField name="Geo_enota" numFmtId="0">
      <sharedItems count="13">
        <s v="Slovenija"/>
        <s v="Gorenjska"/>
        <s v="Goriška"/>
        <s v="Jugovzhodna Slovenija"/>
        <s v="Koroška"/>
        <s v="Obalno-kraška"/>
        <s v="Osrednjeslovenska"/>
        <s v="Podravska"/>
        <s v="Pomurska"/>
        <s v="Posavska"/>
        <s v="Primorsko-notranjska"/>
        <s v="Savinjska"/>
        <s v="Zasavska"/>
      </sharedItems>
    </cacheField>
    <cacheField name="Test" numFmtId="0">
      <sharedItems count="11">
        <s v="6-minutni test hoje"/>
        <s v="Dotikanje plošč z roko"/>
        <s v="Indeks telesne mase"/>
        <s v="Navpični skok"/>
        <s v="Obseg pasu"/>
        <s v="Predklon sede"/>
        <s v="Stisk pesti"/>
        <s v="Tek na 600 m"/>
        <s v="Tek v osmici"/>
        <s v="Upogibanje trupa"/>
        <s v="Vesa v zgibi"/>
      </sharedItems>
    </cacheField>
    <cacheField name="Zdravo" numFmtId="0">
      <sharedItems containsSemiMixedTypes="0" containsString="0" containsNumber="1" containsInteger="1" minValue="1" maxValue="3903"/>
    </cacheField>
    <cacheField name="Mejno" numFmtId="0">
      <sharedItems containsSemiMixedTypes="0" containsString="0" containsNumber="1" containsInteger="1" minValue="0" maxValue="1082"/>
    </cacheField>
    <cacheField name="Tvegano" numFmtId="0">
      <sharedItems containsSemiMixedTypes="0" containsString="0" containsNumber="1" containsInteger="1" minValue="0" maxValue="1709"/>
    </cacheField>
    <cacheField name="sum" numFmtId="0">
      <sharedItems containsSemiMixedTypes="0" containsString="0" containsNumber="1" containsInteger="1" minValue="2" maxValue="4198"/>
    </cacheField>
    <cacheField name="Zdravo%" numFmtId="9">
      <sharedItems containsSemiMixedTypes="0" containsString="0" containsNumber="1" minValue="9.6774193548387094E-2" maxValue="1"/>
    </cacheField>
    <cacheField name="Mejno%" numFmtId="9">
      <sharedItems containsSemiMixedTypes="0" containsString="0" containsNumber="1" minValue="0" maxValue="0.5"/>
    </cacheField>
    <cacheField name="Tvegano%" numFmtId="9">
      <sharedItems containsSemiMixedTypes="0" containsString="0" containsNumber="1" minValue="0" maxValue="0.807692307692307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x v="0"/>
    <x v="0"/>
    <n v="44.1525868175721"/>
    <n v="17658"/>
  </r>
  <r>
    <x v="0"/>
    <x v="1"/>
    <n v="66.618687603144096"/>
    <n v="23142"/>
  </r>
  <r>
    <x v="0"/>
    <x v="2"/>
    <n v="56.0457133560095"/>
    <n v="42291"/>
  </r>
  <r>
    <x v="0"/>
    <x v="3"/>
    <n v="53.941658365389102"/>
    <n v="13896"/>
  </r>
  <r>
    <x v="0"/>
    <x v="4"/>
    <n v="33.554443752736603"/>
    <n v="22698"/>
  </r>
  <r>
    <x v="0"/>
    <x v="5"/>
    <n v="42.063796955507797"/>
    <n v="24795"/>
  </r>
  <r>
    <x v="0"/>
    <x v="6"/>
    <n v="49.446959302965503"/>
    <n v="38129"/>
  </r>
  <r>
    <x v="0"/>
    <x v="7"/>
    <n v="45.5295653729886"/>
    <n v="2664"/>
  </r>
  <r>
    <x v="0"/>
    <x v="8"/>
    <n v="50.282760555419898"/>
    <n v="10698"/>
  </r>
  <r>
    <x v="0"/>
    <x v="9"/>
    <n v="48.127581426298804"/>
    <n v="42345"/>
  </r>
  <r>
    <x v="0"/>
    <x v="10"/>
    <n v="60.016678297444301"/>
    <n v="42561"/>
  </r>
  <r>
    <x v="0"/>
    <x v="11"/>
    <n v="79.423231204496801"/>
    <n v="10983"/>
  </r>
  <r>
    <x v="0"/>
    <x v="12"/>
    <n v="54.874364979161598"/>
    <n v="6324"/>
  </r>
  <r>
    <x v="0"/>
    <x v="11"/>
    <n v="79.469977064439007"/>
    <n v="10902"/>
  </r>
  <r>
    <x v="0"/>
    <x v="12"/>
    <n v="64.907446013677202"/>
    <n v="35468"/>
  </r>
  <r>
    <x v="1"/>
    <x v="0"/>
    <n v="47.213545978669501"/>
    <n v="840"/>
  </r>
  <r>
    <x v="1"/>
    <x v="1"/>
    <n v="72.237031058870201"/>
    <n v="978"/>
  </r>
  <r>
    <x v="1"/>
    <x v="2"/>
    <n v="54.762699953825198"/>
    <n v="1840"/>
  </r>
  <r>
    <x v="1"/>
    <x v="3"/>
    <n v="52.853248619205502"/>
    <n v="921"/>
  </r>
  <r>
    <x v="1"/>
    <x v="4"/>
    <n v="34.876460790062303"/>
    <n v="915"/>
  </r>
  <r>
    <x v="1"/>
    <x v="5"/>
    <n v="40.964293248515702"/>
    <n v="1640"/>
  </r>
  <r>
    <x v="1"/>
    <x v="6"/>
    <n v="55.165541594365003"/>
    <n v="2235"/>
  </r>
  <r>
    <x v="1"/>
    <x v="7"/>
    <n v="46.878551800041599"/>
    <n v="128"/>
  </r>
  <r>
    <x v="1"/>
    <x v="8"/>
    <n v="45.503812138950302"/>
    <n v="894"/>
  </r>
  <r>
    <x v="1"/>
    <x v="9"/>
    <n v="49.966186886155199"/>
    <n v="1840"/>
  </r>
  <r>
    <x v="1"/>
    <x v="10"/>
    <n v="62.248543180751497"/>
    <n v="1870"/>
  </r>
  <r>
    <x v="1"/>
    <x v="11"/>
    <n v="78.480495039805305"/>
    <n v="909"/>
  </r>
  <r>
    <x v="1"/>
    <x v="12"/>
    <n v="54.949695935723099"/>
    <n v="384"/>
  </r>
  <r>
    <x v="2"/>
    <x v="0"/>
    <n v="49.2759144449562"/>
    <n v="415"/>
  </r>
  <r>
    <x v="2"/>
    <x v="1"/>
    <n v="70.975397017767804"/>
    <n v="276"/>
  </r>
  <r>
    <x v="2"/>
    <x v="2"/>
    <n v="55.587407278988202"/>
    <n v="575"/>
  </r>
  <r>
    <x v="2"/>
    <x v="3"/>
    <n v="56.690009894014402"/>
    <n v="258"/>
  </r>
  <r>
    <x v="2"/>
    <x v="4"/>
    <n v="37.2734520684483"/>
    <n v="258"/>
  </r>
  <r>
    <x v="2"/>
    <x v="5"/>
    <n v="43.0866370327984"/>
    <n v="612"/>
  </r>
  <r>
    <x v="2"/>
    <x v="6"/>
    <n v="54.269111627875297"/>
    <n v="755"/>
  </r>
  <r>
    <x v="2"/>
    <x v="7"/>
    <n v="68.828051058530505"/>
    <n v="11"/>
  </r>
  <r>
    <x v="2"/>
    <x v="8"/>
    <n v="54.693854108682103"/>
    <n v="255"/>
  </r>
  <r>
    <x v="2"/>
    <x v="9"/>
    <n v="46.956681256753903"/>
    <n v="580"/>
  </r>
  <r>
    <x v="2"/>
    <x v="10"/>
    <n v="58.668474682236003"/>
    <n v="575"/>
  </r>
  <r>
    <x v="2"/>
    <x v="11"/>
    <n v="76.368802247026196"/>
    <n v="252"/>
  </r>
  <r>
    <x v="2"/>
    <x v="12"/>
    <n v="51.7422096683147"/>
    <n v="40"/>
  </r>
  <r>
    <x v="3"/>
    <x v="0"/>
    <n v="45.754394202086303"/>
    <n v="590"/>
  </r>
  <r>
    <x v="3"/>
    <x v="1"/>
    <n v="71.184738067510693"/>
    <n v="444"/>
  </r>
  <r>
    <x v="3"/>
    <x v="2"/>
    <n v="53.701333135917402"/>
    <n v="920"/>
  </r>
  <r>
    <x v="3"/>
    <x v="3"/>
    <n v="56.987303724214598"/>
    <n v="411"/>
  </r>
  <r>
    <x v="3"/>
    <x v="4"/>
    <n v="37.658836041894801"/>
    <n v="468"/>
  </r>
  <r>
    <x v="3"/>
    <x v="5"/>
    <n v="43.101509762305703"/>
    <n v="832"/>
  </r>
  <r>
    <x v="3"/>
    <x v="6"/>
    <n v="54.225235787806398"/>
    <n v="1095"/>
  </r>
  <r>
    <x v="3"/>
    <x v="7"/>
    <n v="55.855744430016898"/>
    <n v="17"/>
  </r>
  <r>
    <x v="3"/>
    <x v="8"/>
    <n v="49.241048177148102"/>
    <n v="399"/>
  </r>
  <r>
    <x v="3"/>
    <x v="9"/>
    <n v="51.1351303542246"/>
    <n v="925"/>
  </r>
  <r>
    <x v="3"/>
    <x v="10"/>
    <n v="60.637535532534201"/>
    <n v="925"/>
  </r>
  <r>
    <x v="3"/>
    <x v="11"/>
    <n v="80.654467056390601"/>
    <n v="396"/>
  </r>
  <r>
    <x v="3"/>
    <x v="12"/>
    <n v="55.135764595926503"/>
    <n v="126"/>
  </r>
  <r>
    <x v="4"/>
    <x v="0"/>
    <n v="38.9408789570046"/>
    <n v="200"/>
  </r>
  <r>
    <x v="4"/>
    <x v="1"/>
    <n v="70.057030374454996"/>
    <n v="207"/>
  </r>
  <r>
    <x v="4"/>
    <x v="2"/>
    <n v="52.6122557388966"/>
    <n v="355"/>
  </r>
  <r>
    <x v="4"/>
    <x v="3"/>
    <n v="65.033722915759"/>
    <n v="198"/>
  </r>
  <r>
    <x v="4"/>
    <x v="4"/>
    <n v="36.430440565737001"/>
    <n v="195"/>
  </r>
  <r>
    <x v="4"/>
    <x v="5"/>
    <n v="35.735898379346096"/>
    <n v="524"/>
  </r>
  <r>
    <x v="4"/>
    <x v="6"/>
    <n v="46.644270716914903"/>
    <n v="655"/>
  </r>
  <r>
    <x v="4"/>
    <x v="7"/>
    <n v="44.300781408270602"/>
    <n v="16"/>
  </r>
  <r>
    <x v="4"/>
    <x v="8"/>
    <n v="48.350288591756502"/>
    <n v="192"/>
  </r>
  <r>
    <x v="4"/>
    <x v="9"/>
    <n v="49.751047873951201"/>
    <n v="355"/>
  </r>
  <r>
    <x v="4"/>
    <x v="10"/>
    <n v="57.984895306193202"/>
    <n v="355"/>
  </r>
  <r>
    <x v="4"/>
    <x v="11"/>
    <n v="83.678824463860593"/>
    <n v="192"/>
  </r>
  <r>
    <x v="4"/>
    <x v="12"/>
    <n v="67.467260273972599"/>
    <n v="26"/>
  </r>
  <r>
    <x v="5"/>
    <x v="0"/>
    <n v="42.328426016957202"/>
    <n v="350"/>
  </r>
  <r>
    <x v="5"/>
    <x v="1"/>
    <n v="61.043720896928598"/>
    <n v="330"/>
  </r>
  <r>
    <x v="5"/>
    <x v="2"/>
    <n v="55.019436804129903"/>
    <n v="605"/>
  </r>
  <r>
    <x v="5"/>
    <x v="3"/>
    <n v="51.785195029806303"/>
    <n v="312"/>
  </r>
  <r>
    <x v="5"/>
    <x v="4"/>
    <n v="33.630302898423999"/>
    <n v="318"/>
  </r>
  <r>
    <x v="5"/>
    <x v="5"/>
    <n v="38.111316710960601"/>
    <n v="748"/>
  </r>
  <r>
    <x v="5"/>
    <x v="6"/>
    <n v="51.1563808307668"/>
    <n v="960"/>
  </r>
  <r>
    <x v="5"/>
    <x v="7"/>
    <n v="23.9110197355899"/>
    <n v="32"/>
  </r>
  <r>
    <x v="5"/>
    <x v="8"/>
    <n v="51.731895651234403"/>
    <n v="315"/>
  </r>
  <r>
    <x v="5"/>
    <x v="9"/>
    <n v="49.281192589934903"/>
    <n v="605"/>
  </r>
  <r>
    <x v="5"/>
    <x v="10"/>
    <n v="60.861083064304097"/>
    <n v="610"/>
  </r>
  <r>
    <x v="5"/>
    <x v="11"/>
    <n v="78.012845287857104"/>
    <n v="315"/>
  </r>
  <r>
    <x v="5"/>
    <x v="12"/>
    <n v="57.1861325060637"/>
    <n v="58"/>
  </r>
  <r>
    <x v="6"/>
    <x v="0"/>
    <n v="43.466271724748701"/>
    <n v="7105"/>
  </r>
  <r>
    <x v="6"/>
    <x v="1"/>
    <n v="66.711032811852107"/>
    <n v="4899"/>
  </r>
  <r>
    <x v="6"/>
    <x v="2"/>
    <n v="57.326881783318299"/>
    <n v="10745"/>
  </r>
  <r>
    <x v="6"/>
    <x v="3"/>
    <n v="53.652763584566699"/>
    <n v="4461"/>
  </r>
  <r>
    <x v="6"/>
    <x v="4"/>
    <n v="32.1759976944467"/>
    <n v="4818"/>
  </r>
  <r>
    <x v="6"/>
    <x v="5"/>
    <n v="43.384586076587397"/>
    <n v="7504"/>
  </r>
  <r>
    <x v="6"/>
    <x v="6"/>
    <n v="47.6011199004273"/>
    <n v="11190"/>
  </r>
  <r>
    <x v="6"/>
    <x v="7"/>
    <n v="45.857690190700701"/>
    <n v="478"/>
  </r>
  <r>
    <x v="6"/>
    <x v="8"/>
    <n v="50.996130380926203"/>
    <n v="4572"/>
  </r>
  <r>
    <x v="6"/>
    <x v="9"/>
    <n v="46.354303783372302"/>
    <n v="10755"/>
  </r>
  <r>
    <x v="6"/>
    <x v="10"/>
    <n v="59.714905194425199"/>
    <n v="10810"/>
  </r>
  <r>
    <x v="6"/>
    <x v="11"/>
    <n v="78.635559108774302"/>
    <n v="4755"/>
  </r>
  <r>
    <x v="6"/>
    <x v="12"/>
    <n v="55.304076490640703"/>
    <n v="1630"/>
  </r>
  <r>
    <x v="7"/>
    <x v="0"/>
    <n v="56.857993241955697"/>
    <n v="325"/>
  </r>
  <r>
    <x v="7"/>
    <x v="1"/>
    <n v="68.738460654889295"/>
    <n v="420"/>
  </r>
  <r>
    <x v="7"/>
    <x v="2"/>
    <n v="53.404921575059703"/>
    <n v="765"/>
  </r>
  <r>
    <x v="7"/>
    <x v="3"/>
    <n v="57.589612189216098"/>
    <n v="375"/>
  </r>
  <r>
    <x v="7"/>
    <x v="4"/>
    <n v="34.737484915038898"/>
    <n v="390"/>
  </r>
  <r>
    <x v="7"/>
    <x v="5"/>
    <n v="38.4177673141144"/>
    <n v="1156"/>
  </r>
  <r>
    <x v="7"/>
    <x v="6"/>
    <n v="44.900865274460202"/>
    <n v="1530"/>
  </r>
  <r>
    <x v="7"/>
    <x v="7"/>
    <n v="38.557905710710898"/>
    <n v="22"/>
  </r>
  <r>
    <x v="7"/>
    <x v="8"/>
    <n v="45.708521393594602"/>
    <n v="381"/>
  </r>
  <r>
    <x v="7"/>
    <x v="9"/>
    <n v="52.833180305912599"/>
    <n v="770"/>
  </r>
  <r>
    <x v="7"/>
    <x v="10"/>
    <n v="61.990040685703804"/>
    <n v="765"/>
  </r>
  <r>
    <x v="7"/>
    <x v="11"/>
    <n v="86.268103073859095"/>
    <n v="375"/>
  </r>
  <r>
    <x v="7"/>
    <x v="12"/>
    <n v="59.295677965594301"/>
    <n v="120"/>
  </r>
  <r>
    <x v="8"/>
    <x v="0"/>
    <n v="56.042456384092503"/>
    <n v="200"/>
  </r>
  <r>
    <x v="8"/>
    <x v="1"/>
    <n v="65.336499507476404"/>
    <n v="171"/>
  </r>
  <r>
    <x v="8"/>
    <x v="2"/>
    <n v="53.183321861665497"/>
    <n v="300"/>
  </r>
  <r>
    <x v="8"/>
    <x v="3"/>
    <n v="64.457040261692001"/>
    <n v="147"/>
  </r>
  <r>
    <x v="8"/>
    <x v="4"/>
    <n v="35.212465185146499"/>
    <n v="159"/>
  </r>
  <r>
    <x v="8"/>
    <x v="5"/>
    <n v="40.305966477996598"/>
    <n v="440"/>
  </r>
  <r>
    <x v="8"/>
    <x v="6"/>
    <n v="48.340017743508497"/>
    <n v="565"/>
  </r>
  <r>
    <x v="8"/>
    <x v="7"/>
    <n v="34.167808219178099"/>
    <n v="4"/>
  </r>
  <r>
    <x v="8"/>
    <x v="8"/>
    <n v="39.482199972128001"/>
    <n v="153"/>
  </r>
  <r>
    <x v="8"/>
    <x v="9"/>
    <n v="48.401398822631101"/>
    <n v="300"/>
  </r>
  <r>
    <x v="8"/>
    <x v="10"/>
    <n v="54.857734034872301"/>
    <n v="300"/>
  </r>
  <r>
    <x v="8"/>
    <x v="11"/>
    <n v="87.418371681557602"/>
    <n v="162"/>
  </r>
  <r>
    <x v="8"/>
    <x v="12"/>
    <n v="62.184325823616"/>
    <n v="22"/>
  </r>
  <r>
    <x v="9"/>
    <x v="0"/>
    <n v="37.202252778856902"/>
    <n v="830"/>
  </r>
  <r>
    <x v="9"/>
    <x v="1"/>
    <n v="66.070177130148707"/>
    <n v="573"/>
  </r>
  <r>
    <x v="9"/>
    <x v="2"/>
    <n v="45.595635374632003"/>
    <n v="975"/>
  </r>
  <r>
    <x v="9"/>
    <x v="3"/>
    <n v="41.434926065303202"/>
    <n v="516"/>
  </r>
  <r>
    <x v="9"/>
    <x v="4"/>
    <n v="45.288270970867202"/>
    <n v="552"/>
  </r>
  <r>
    <x v="9"/>
    <x v="5"/>
    <n v="40.877592695778702"/>
    <n v="820"/>
  </r>
  <r>
    <x v="9"/>
    <x v="6"/>
    <n v="53.715552900404397"/>
    <n v="1050"/>
  </r>
  <r>
    <x v="9"/>
    <x v="7"/>
    <n v="51.573505692886599"/>
    <n v="13"/>
  </r>
  <r>
    <x v="9"/>
    <x v="8"/>
    <n v="49.622762230433402"/>
    <n v="516"/>
  </r>
  <r>
    <x v="9"/>
    <x v="9"/>
    <n v="54.853125986850202"/>
    <n v="975"/>
  </r>
  <r>
    <x v="9"/>
    <x v="10"/>
    <n v="55.0259532581182"/>
    <n v="980"/>
  </r>
  <r>
    <x v="9"/>
    <x v="11"/>
    <n v="87.685120282945505"/>
    <n v="543"/>
  </r>
  <r>
    <x v="9"/>
    <x v="12"/>
    <n v="75.550156712903998"/>
    <n v="28"/>
  </r>
  <r>
    <x v="10"/>
    <x v="0"/>
    <n v="49.362621388214997"/>
    <n v="175"/>
  </r>
  <r>
    <x v="10"/>
    <x v="1"/>
    <n v="71.358198340472995"/>
    <n v="141"/>
  </r>
  <r>
    <x v="10"/>
    <x v="2"/>
    <n v="56.086290475249001"/>
    <n v="270"/>
  </r>
  <r>
    <x v="10"/>
    <x v="3"/>
    <n v="52.379372389788401"/>
    <n v="132"/>
  </r>
  <r>
    <x v="10"/>
    <x v="4"/>
    <n v="32.309971435168798"/>
    <n v="144"/>
  </r>
  <r>
    <x v="10"/>
    <x v="5"/>
    <n v="38.650156761510601"/>
    <n v="392"/>
  </r>
  <r>
    <x v="10"/>
    <x v="6"/>
    <n v="53.5680054443377"/>
    <n v="505"/>
  </r>
  <r>
    <x v="10"/>
    <x v="7"/>
    <n v="52.500265675663499"/>
    <n v="11"/>
  </r>
  <r>
    <x v="10"/>
    <x v="8"/>
    <n v="51.4226483777068"/>
    <n v="141"/>
  </r>
  <r>
    <x v="10"/>
    <x v="9"/>
    <n v="50.730495365464499"/>
    <n v="270"/>
  </r>
  <r>
    <x v="10"/>
    <x v="10"/>
    <n v="61.037819309723602"/>
    <n v="270"/>
  </r>
  <r>
    <x v="10"/>
    <x v="11"/>
    <n v="79.530469753445104"/>
    <n v="138"/>
  </r>
  <r>
    <x v="10"/>
    <x v="12"/>
    <n v="53.215858971269299"/>
    <n v="34"/>
  </r>
  <r>
    <x v="11"/>
    <x v="0"/>
    <n v="52.909444525207498"/>
    <n v="990"/>
  </r>
  <r>
    <x v="11"/>
    <x v="1"/>
    <n v="67.9869163465019"/>
    <n v="930"/>
  </r>
  <r>
    <x v="11"/>
    <x v="2"/>
    <n v="56.084077908785503"/>
    <n v="1665"/>
  </r>
  <r>
    <x v="11"/>
    <x v="3"/>
    <n v="57.765195138154702"/>
    <n v="876"/>
  </r>
  <r>
    <x v="11"/>
    <x v="4"/>
    <n v="33.385990565389399"/>
    <n v="915"/>
  </r>
  <r>
    <x v="11"/>
    <x v="5"/>
    <n v="38.447821604168901"/>
    <n v="1716"/>
  </r>
  <r>
    <x v="11"/>
    <x v="6"/>
    <n v="50.046469590881301"/>
    <n v="2205"/>
  </r>
  <r>
    <x v="11"/>
    <x v="7"/>
    <n v="44.502390416945097"/>
    <n v="86"/>
  </r>
  <r>
    <x v="11"/>
    <x v="8"/>
    <n v="53.088177215239199"/>
    <n v="867"/>
  </r>
  <r>
    <x v="11"/>
    <x v="9"/>
    <n v="49.275810712721501"/>
    <n v="1670"/>
  </r>
  <r>
    <x v="11"/>
    <x v="10"/>
    <n v="62.118327659585702"/>
    <n v="1665"/>
  </r>
  <r>
    <x v="11"/>
    <x v="11"/>
    <n v="82.454129926923997"/>
    <n v="870"/>
  </r>
  <r>
    <x v="11"/>
    <x v="12"/>
    <n v="50.638366816528297"/>
    <n v="382"/>
  </r>
  <r>
    <x v="12"/>
    <x v="0"/>
    <n v="47.4406647863958"/>
    <n v="120"/>
  </r>
  <r>
    <x v="12"/>
    <x v="1"/>
    <n v="70.0407360789264"/>
    <n v="93"/>
  </r>
  <r>
    <x v="12"/>
    <x v="2"/>
    <n v="57.134981854646"/>
    <n v="170"/>
  </r>
  <r>
    <x v="12"/>
    <x v="3"/>
    <n v="40.235331058226301"/>
    <n v="87"/>
  </r>
  <r>
    <x v="12"/>
    <x v="4"/>
    <n v="37.0825579071889"/>
    <n v="93"/>
  </r>
  <r>
    <x v="12"/>
    <x v="5"/>
    <n v="40.162955620652703"/>
    <n v="192"/>
  </r>
  <r>
    <x v="12"/>
    <x v="6"/>
    <n v="39.365431517519703"/>
    <n v="255"/>
  </r>
  <r>
    <x v="12"/>
    <x v="7"/>
    <n v="60.513242009132398"/>
    <n v="3"/>
  </r>
  <r>
    <x v="12"/>
    <x v="8"/>
    <n v="53.4277275613317"/>
    <n v="84"/>
  </r>
  <r>
    <x v="12"/>
    <x v="9"/>
    <n v="55.634664925787099"/>
    <n v="170"/>
  </r>
  <r>
    <x v="12"/>
    <x v="10"/>
    <n v="74.347564566117597"/>
    <n v="170"/>
  </r>
  <r>
    <x v="12"/>
    <x v="11"/>
    <n v="80.527480916363103"/>
    <n v="81"/>
  </r>
  <r>
    <x v="12"/>
    <x v="12"/>
    <n v="39.431534969670203"/>
    <n v="2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x v="0"/>
    <x v="0"/>
    <n v="1424"/>
    <n v="491"/>
    <n v="631"/>
    <n v="2546"/>
    <n v="0.55930871956009431"/>
    <n v="0.19285153181461115"/>
    <n v="0.24783974862529459"/>
  </r>
  <r>
    <x v="0"/>
    <x v="1"/>
    <n v="3050"/>
    <n v="293"/>
    <n v="107"/>
    <n v="3450"/>
    <n v="0.88405797101449279"/>
    <n v="8.4927536231884052E-2"/>
    <n v="3.1014492753623189E-2"/>
  </r>
  <r>
    <x v="0"/>
    <x v="2"/>
    <n v="1912"/>
    <n v="915"/>
    <n v="1332"/>
    <n v="4159"/>
    <n v="0.45972589564799232"/>
    <n v="0.22000480884828083"/>
    <n v="0.32026929550372685"/>
  </r>
  <r>
    <x v="0"/>
    <x v="3"/>
    <n v="2274"/>
    <n v="547"/>
    <n v="236"/>
    <n v="3057"/>
    <n v="0.74386653581943085"/>
    <n v="0.17893359502780504"/>
    <n v="7.7199869152764153E-2"/>
  </r>
  <r>
    <x v="0"/>
    <x v="4"/>
    <n v="1280"/>
    <n v="419"/>
    <n v="1709"/>
    <n v="3408"/>
    <n v="0.37558685446009388"/>
    <n v="0.12294600938967136"/>
    <n v="0.50146713615023475"/>
  </r>
  <r>
    <x v="0"/>
    <x v="5"/>
    <n v="2105"/>
    <n v="1082"/>
    <n v="664"/>
    <n v="3851"/>
    <n v="0.54661126980005192"/>
    <n v="0.28096598286159441"/>
    <n v="0.17242274733835367"/>
  </r>
  <r>
    <x v="0"/>
    <x v="6"/>
    <n v="3903"/>
    <n v="205"/>
    <n v="90"/>
    <n v="4198"/>
    <n v="0.92972844211529304"/>
    <n v="4.8832777513101479E-2"/>
    <n v="2.1438780371605525E-2"/>
  </r>
  <r>
    <x v="0"/>
    <x v="7"/>
    <n v="221"/>
    <n v="116"/>
    <n v="469"/>
    <n v="806"/>
    <n v="0.27419354838709675"/>
    <n v="0.14392059553349876"/>
    <n v="0.58188585607940446"/>
  </r>
  <r>
    <x v="0"/>
    <x v="8"/>
    <n v="1505"/>
    <n v="308"/>
    <n v="1347"/>
    <n v="3160"/>
    <n v="0.47626582278481011"/>
    <n v="9.7468354430379753E-2"/>
    <n v="0.42626582278481012"/>
  </r>
  <r>
    <x v="0"/>
    <x v="9"/>
    <n v="3005"/>
    <n v="106"/>
    <n v="158"/>
    <n v="3269"/>
    <n v="0.91924135821352093"/>
    <n v="3.2425818293055977E-2"/>
    <n v="4.8332823493423063E-2"/>
  </r>
  <r>
    <x v="0"/>
    <x v="10"/>
    <n v="1051"/>
    <n v="158"/>
    <n v="105"/>
    <n v="1314"/>
    <n v="0.79984779299847797"/>
    <n v="0.12024353120243531"/>
    <n v="7.9908675799086754E-2"/>
  </r>
  <r>
    <x v="1"/>
    <x v="0"/>
    <n v="76"/>
    <n v="20"/>
    <n v="22"/>
    <n v="118"/>
    <n v="0.64406779661016944"/>
    <n v="0.16949152542372881"/>
    <n v="0.1864406779661017"/>
  </r>
  <r>
    <x v="1"/>
    <x v="1"/>
    <n v="236"/>
    <n v="22"/>
    <n v="3"/>
    <n v="261"/>
    <n v="0.90421455938697315"/>
    <n v="8.4291187739463605E-2"/>
    <n v="1.1494252873563218E-2"/>
  </r>
  <r>
    <x v="1"/>
    <x v="2"/>
    <n v="139"/>
    <n v="65"/>
    <n v="84"/>
    <n v="288"/>
    <n v="0.4826388888888889"/>
    <n v="0.22569444444444445"/>
    <n v="0.29166666666666669"/>
  </r>
  <r>
    <x v="1"/>
    <x v="3"/>
    <n v="173"/>
    <n v="55"/>
    <n v="16"/>
    <n v="244"/>
    <n v="0.70901639344262291"/>
    <n v="0.22540983606557377"/>
    <n v="6.5573770491803282E-2"/>
  </r>
  <r>
    <x v="1"/>
    <x v="4"/>
    <n v="91"/>
    <n v="38"/>
    <n v="114"/>
    <n v="243"/>
    <n v="0.37448559670781895"/>
    <n v="0.15637860082304528"/>
    <n v="0.46913580246913578"/>
  </r>
  <r>
    <x v="1"/>
    <x v="5"/>
    <n v="145"/>
    <n v="91"/>
    <n v="63"/>
    <n v="299"/>
    <n v="0.48494983277591974"/>
    <n v="0.30434782608695654"/>
    <n v="0.21070234113712374"/>
  </r>
  <r>
    <x v="1"/>
    <x v="6"/>
    <n v="297"/>
    <n v="14"/>
    <n v="4"/>
    <n v="315"/>
    <n v="0.94285714285714284"/>
    <n v="4.4444444444444446E-2"/>
    <n v="1.2698412698412698E-2"/>
  </r>
  <r>
    <x v="1"/>
    <x v="7"/>
    <n v="29"/>
    <n v="10"/>
    <n v="72"/>
    <n v="111"/>
    <n v="0.26126126126126126"/>
    <n v="9.0090090090090086E-2"/>
    <n v="0.64864864864864868"/>
  </r>
  <r>
    <x v="1"/>
    <x v="8"/>
    <n v="125"/>
    <n v="29"/>
    <n v="83"/>
    <n v="237"/>
    <n v="0.52742616033755274"/>
    <n v="0.12236286919831224"/>
    <n v="0.35021097046413502"/>
  </r>
  <r>
    <x v="1"/>
    <x v="9"/>
    <n v="225"/>
    <n v="7"/>
    <n v="11"/>
    <n v="243"/>
    <n v="0.92592592592592593"/>
    <n v="2.8806584362139918E-2"/>
    <n v="4.5267489711934158E-2"/>
  </r>
  <r>
    <x v="1"/>
    <x v="10"/>
    <n v="114"/>
    <n v="12"/>
    <n v="11"/>
    <n v="137"/>
    <n v="0.83211678832116787"/>
    <n v="8.7591240875912413E-2"/>
    <n v="8.0291970802919707E-2"/>
  </r>
  <r>
    <x v="2"/>
    <x v="0"/>
    <n v="47"/>
    <n v="14"/>
    <n v="17"/>
    <n v="78"/>
    <n v="0.60256410256410253"/>
    <n v="0.17948717948717949"/>
    <n v="0.21794871794871795"/>
  </r>
  <r>
    <x v="2"/>
    <x v="1"/>
    <n v="73"/>
    <n v="9"/>
    <n v="1"/>
    <n v="83"/>
    <n v="0.87951807228915657"/>
    <n v="0.10843373493975904"/>
    <n v="1.2048192771084338E-2"/>
  </r>
  <r>
    <x v="2"/>
    <x v="2"/>
    <n v="56"/>
    <n v="19"/>
    <n v="31"/>
    <n v="106"/>
    <n v="0.52830188679245282"/>
    <n v="0.17924528301886791"/>
    <n v="0.29245283018867924"/>
  </r>
  <r>
    <x v="2"/>
    <x v="3"/>
    <n v="60"/>
    <n v="15"/>
    <n v="2"/>
    <n v="77"/>
    <n v="0.77922077922077926"/>
    <n v="0.19480519480519481"/>
    <n v="2.5974025974025976E-2"/>
  </r>
  <r>
    <x v="2"/>
    <x v="4"/>
    <n v="26"/>
    <n v="10"/>
    <n v="43"/>
    <n v="79"/>
    <n v="0.32911392405063289"/>
    <n v="0.12658227848101267"/>
    <n v="0.54430379746835444"/>
  </r>
  <r>
    <x v="2"/>
    <x v="5"/>
    <n v="69"/>
    <n v="25"/>
    <n v="27"/>
    <n v="121"/>
    <n v="0.57024793388429751"/>
    <n v="0.20661157024793389"/>
    <n v="0.2231404958677686"/>
  </r>
  <r>
    <x v="2"/>
    <x v="6"/>
    <n v="112"/>
    <n v="6"/>
    <n v="1"/>
    <n v="119"/>
    <n v="0.94117647058823528"/>
    <n v="5.0420168067226892E-2"/>
    <n v="8.4033613445378148E-3"/>
  </r>
  <r>
    <x v="2"/>
    <x v="7"/>
    <n v="3"/>
    <n v="0"/>
    <n v="4"/>
    <n v="7"/>
    <n v="0.42857142857142855"/>
    <n v="0"/>
    <n v="0.5714285714285714"/>
  </r>
  <r>
    <x v="2"/>
    <x v="8"/>
    <n v="33"/>
    <n v="7"/>
    <n v="34"/>
    <n v="74"/>
    <n v="0.44594594594594594"/>
    <n v="9.45945945945946E-2"/>
    <n v="0.45945945945945948"/>
  </r>
  <r>
    <x v="2"/>
    <x v="9"/>
    <n v="69"/>
    <n v="2"/>
    <n v="5"/>
    <n v="76"/>
    <n v="0.90789473684210531"/>
    <n v="2.6315789473684209E-2"/>
    <n v="6.5789473684210523E-2"/>
  </r>
  <r>
    <x v="2"/>
    <x v="10"/>
    <n v="10"/>
    <n v="3"/>
    <n v="2"/>
    <n v="15"/>
    <n v="0.66666666666666663"/>
    <n v="0.2"/>
    <n v="0.13333333333333333"/>
  </r>
  <r>
    <x v="3"/>
    <x v="0"/>
    <n v="61"/>
    <n v="15"/>
    <n v="26"/>
    <n v="102"/>
    <n v="0.59803921568627449"/>
    <n v="0.14705882352941177"/>
    <n v="0.25490196078431371"/>
  </r>
  <r>
    <x v="3"/>
    <x v="1"/>
    <n v="114"/>
    <n v="14"/>
    <n v="1"/>
    <n v="129"/>
    <n v="0.88372093023255816"/>
    <n v="0.10852713178294573"/>
    <n v="7.7519379844961239E-3"/>
  </r>
  <r>
    <x v="3"/>
    <x v="2"/>
    <n v="86"/>
    <n v="28"/>
    <n v="51"/>
    <n v="165"/>
    <n v="0.52121212121212124"/>
    <n v="0.16969696969696971"/>
    <n v="0.30909090909090908"/>
  </r>
  <r>
    <x v="3"/>
    <x v="3"/>
    <n v="87"/>
    <n v="21"/>
    <n v="11"/>
    <n v="119"/>
    <n v="0.73109243697478987"/>
    <n v="0.17647058823529413"/>
    <n v="9.2436974789915971E-2"/>
  </r>
  <r>
    <x v="3"/>
    <x v="4"/>
    <n v="52"/>
    <n v="20"/>
    <n v="68"/>
    <n v="140"/>
    <n v="0.37142857142857144"/>
    <n v="0.14285714285714285"/>
    <n v="0.48571428571428571"/>
  </r>
  <r>
    <x v="3"/>
    <x v="5"/>
    <n v="82"/>
    <n v="41"/>
    <n v="33"/>
    <n v="156"/>
    <n v="0.52564102564102566"/>
    <n v="0.26282051282051283"/>
    <n v="0.21153846153846154"/>
  </r>
  <r>
    <x v="3"/>
    <x v="6"/>
    <n v="152"/>
    <n v="11"/>
    <n v="3"/>
    <n v="166"/>
    <n v="0.91566265060240959"/>
    <n v="6.6265060240963861E-2"/>
    <n v="1.8072289156626505E-2"/>
  </r>
  <r>
    <x v="3"/>
    <x v="7"/>
    <n v="3"/>
    <n v="1"/>
    <n v="13"/>
    <n v="17"/>
    <n v="0.17647058823529413"/>
    <n v="5.8823529411764705E-2"/>
    <n v="0.76470588235294112"/>
  </r>
  <r>
    <x v="3"/>
    <x v="8"/>
    <n v="53"/>
    <n v="14"/>
    <n v="47"/>
    <n v="114"/>
    <n v="0.46491228070175439"/>
    <n v="0.12280701754385964"/>
    <n v="0.41228070175438597"/>
  </r>
  <r>
    <x v="3"/>
    <x v="9"/>
    <n v="106"/>
    <n v="7"/>
    <n v="3"/>
    <n v="116"/>
    <n v="0.91379310344827591"/>
    <n v="6.0344827586206899E-2"/>
    <n v="2.5862068965517241E-2"/>
  </r>
  <r>
    <x v="3"/>
    <x v="10"/>
    <n v="43"/>
    <n v="12"/>
    <n v="6"/>
    <n v="61"/>
    <n v="0.70491803278688525"/>
    <n v="0.19672131147540983"/>
    <n v="9.8360655737704916E-2"/>
  </r>
  <r>
    <x v="4"/>
    <x v="0"/>
    <n v="17"/>
    <n v="6"/>
    <n v="15"/>
    <n v="38"/>
    <n v="0.44736842105263158"/>
    <n v="0.15789473684210525"/>
    <n v="0.39473684210526316"/>
  </r>
  <r>
    <x v="4"/>
    <x v="1"/>
    <n v="55"/>
    <n v="6"/>
    <n v="4"/>
    <n v="65"/>
    <n v="0.84615384615384615"/>
    <n v="9.2307692307692313E-2"/>
    <n v="6.1538461538461542E-2"/>
  </r>
  <r>
    <x v="4"/>
    <x v="2"/>
    <n v="31"/>
    <n v="15"/>
    <n v="20"/>
    <n v="66"/>
    <n v="0.46969696969696972"/>
    <n v="0.22727272727272727"/>
    <n v="0.30303030303030304"/>
  </r>
  <r>
    <x v="4"/>
    <x v="3"/>
    <n v="51"/>
    <n v="8"/>
    <n v="3"/>
    <n v="62"/>
    <n v="0.82258064516129037"/>
    <n v="0.12903225806451613"/>
    <n v="4.8387096774193547E-2"/>
  </r>
  <r>
    <x v="4"/>
    <x v="4"/>
    <n v="17"/>
    <n v="6"/>
    <n v="38"/>
    <n v="61"/>
    <n v="0.27868852459016391"/>
    <n v="9.8360655737704916E-2"/>
    <n v="0.62295081967213117"/>
  </r>
  <r>
    <x v="4"/>
    <x v="5"/>
    <n v="41"/>
    <n v="19"/>
    <n v="11"/>
    <n v="71"/>
    <n v="0.57746478873239437"/>
    <n v="0.26760563380281688"/>
    <n v="0.15492957746478872"/>
  </r>
  <r>
    <x v="4"/>
    <x v="6"/>
    <n v="66"/>
    <n v="3"/>
    <n v="2"/>
    <n v="71"/>
    <n v="0.92957746478873238"/>
    <n v="4.2253521126760563E-2"/>
    <n v="2.8169014084507043E-2"/>
  </r>
  <r>
    <x v="4"/>
    <x v="7"/>
    <n v="3"/>
    <n v="0"/>
    <n v="12"/>
    <n v="15"/>
    <n v="0.2"/>
    <n v="0"/>
    <n v="0.8"/>
  </r>
  <r>
    <x v="4"/>
    <x v="8"/>
    <n v="19"/>
    <n v="7"/>
    <n v="33"/>
    <n v="59"/>
    <n v="0.32203389830508472"/>
    <n v="0.11864406779661017"/>
    <n v="0.55932203389830504"/>
  </r>
  <r>
    <x v="4"/>
    <x v="9"/>
    <n v="57"/>
    <n v="0"/>
    <n v="3"/>
    <n v="60"/>
    <n v="0.95"/>
    <n v="0"/>
    <n v="0.05"/>
  </r>
  <r>
    <x v="4"/>
    <x v="10"/>
    <n v="9"/>
    <n v="0"/>
    <n v="0"/>
    <n v="9"/>
    <n v="1"/>
    <n v="0"/>
    <n v="0"/>
  </r>
  <r>
    <x v="5"/>
    <x v="0"/>
    <n v="38"/>
    <n v="6"/>
    <n v="21"/>
    <n v="65"/>
    <n v="0.58461538461538465"/>
    <n v="9.2307692307692313E-2"/>
    <n v="0.32307692307692309"/>
  </r>
  <r>
    <x v="5"/>
    <x v="1"/>
    <n v="89"/>
    <n v="8"/>
    <n v="6"/>
    <n v="103"/>
    <n v="0.86407766990291257"/>
    <n v="7.7669902912621352E-2"/>
    <n v="5.8252427184466021E-2"/>
  </r>
  <r>
    <x v="5"/>
    <x v="2"/>
    <n v="53"/>
    <n v="18"/>
    <n v="43"/>
    <n v="114"/>
    <n v="0.46491228070175439"/>
    <n v="0.15789473684210525"/>
    <n v="0.37719298245614036"/>
  </r>
  <r>
    <x v="5"/>
    <x v="3"/>
    <n v="70"/>
    <n v="19"/>
    <n v="8"/>
    <n v="97"/>
    <n v="0.72164948453608246"/>
    <n v="0.19587628865979381"/>
    <n v="8.247422680412371E-2"/>
  </r>
  <r>
    <x v="5"/>
    <x v="4"/>
    <n v="36"/>
    <n v="9"/>
    <n v="55"/>
    <n v="100"/>
    <n v="0.36"/>
    <n v="0.09"/>
    <n v="0.55000000000000004"/>
  </r>
  <r>
    <x v="5"/>
    <x v="5"/>
    <n v="60"/>
    <n v="41"/>
    <n v="28"/>
    <n v="129"/>
    <n v="0.46511627906976744"/>
    <n v="0.31782945736434109"/>
    <n v="0.21705426356589147"/>
  </r>
  <r>
    <x v="5"/>
    <x v="6"/>
    <n v="126"/>
    <n v="10"/>
    <n v="1"/>
    <n v="137"/>
    <n v="0.91970802919708028"/>
    <n v="7.2992700729927001E-2"/>
    <n v="7.2992700729927005E-3"/>
  </r>
  <r>
    <x v="5"/>
    <x v="7"/>
    <n v="3"/>
    <n v="3"/>
    <n v="25"/>
    <n v="31"/>
    <n v="9.6774193548387094E-2"/>
    <n v="9.6774193548387094E-2"/>
    <n v="0.80645161290322576"/>
  </r>
  <r>
    <x v="5"/>
    <x v="8"/>
    <n v="36"/>
    <n v="17"/>
    <n v="45"/>
    <n v="98"/>
    <n v="0.36734693877551022"/>
    <n v="0.17346938775510204"/>
    <n v="0.45918367346938777"/>
  </r>
  <r>
    <x v="5"/>
    <x v="9"/>
    <n v="90"/>
    <n v="2"/>
    <n v="8"/>
    <n v="100"/>
    <n v="0.9"/>
    <n v="0.02"/>
    <n v="0.08"/>
  </r>
  <r>
    <x v="5"/>
    <x v="10"/>
    <n v="20"/>
    <n v="2"/>
    <n v="4"/>
    <n v="26"/>
    <n v="0.76923076923076927"/>
    <n v="7.6923076923076927E-2"/>
    <n v="0.15384615384615385"/>
  </r>
  <r>
    <x v="6"/>
    <x v="0"/>
    <n v="674"/>
    <n v="250"/>
    <n v="306"/>
    <n v="1230"/>
    <n v="0.54796747967479675"/>
    <n v="0.2032520325203252"/>
    <n v="0.24878048780487805"/>
  </r>
  <r>
    <x v="6"/>
    <x v="1"/>
    <n v="1298"/>
    <n v="128"/>
    <n v="56"/>
    <n v="1482"/>
    <n v="0.87584345479082326"/>
    <n v="8.6369770580296892E-2"/>
    <n v="3.7786774628879895E-2"/>
  </r>
  <r>
    <x v="6"/>
    <x v="2"/>
    <n v="854"/>
    <n v="441"/>
    <n v="598"/>
    <n v="1893"/>
    <n v="0.45113576333861594"/>
    <n v="0.23296354992076071"/>
    <n v="0.31590068674062333"/>
  </r>
  <r>
    <x v="6"/>
    <x v="3"/>
    <n v="977"/>
    <n v="233"/>
    <n v="112"/>
    <n v="1322"/>
    <n v="0.73903177004538578"/>
    <n v="0.1762481089258699"/>
    <n v="8.4720121028744322E-2"/>
  </r>
  <r>
    <x v="6"/>
    <x v="4"/>
    <n v="555"/>
    <n v="177"/>
    <n v="735"/>
    <n v="1467"/>
    <n v="0.3783231083844581"/>
    <n v="0.12065439672801637"/>
    <n v="0.50102249488752559"/>
  </r>
  <r>
    <x v="6"/>
    <x v="5"/>
    <n v="860"/>
    <n v="455"/>
    <n v="248"/>
    <n v="1563"/>
    <n v="0.55022392834293021"/>
    <n v="0.29110684580934099"/>
    <n v="0.15866922584772872"/>
  </r>
  <r>
    <x v="6"/>
    <x v="6"/>
    <n v="1679"/>
    <n v="100"/>
    <n v="49"/>
    <n v="1828"/>
    <n v="0.91849015317286653"/>
    <n v="5.4704595185995623E-2"/>
    <n v="2.6805251641137857E-2"/>
  </r>
  <r>
    <x v="6"/>
    <x v="7"/>
    <n v="119"/>
    <n v="61"/>
    <n v="260"/>
    <n v="440"/>
    <n v="0.27045454545454545"/>
    <n v="0.13863636363636364"/>
    <n v="0.59090909090909094"/>
  </r>
  <r>
    <x v="6"/>
    <x v="8"/>
    <n v="626"/>
    <n v="149"/>
    <n v="591"/>
    <n v="1366"/>
    <n v="0.45827232796486089"/>
    <n v="0.10907759882869693"/>
    <n v="0.43265007320644217"/>
  </r>
  <r>
    <x v="6"/>
    <x v="9"/>
    <n v="1301"/>
    <n v="52"/>
    <n v="78"/>
    <n v="1431"/>
    <n v="0.90915443745632429"/>
    <n v="3.6338225017470298E-2"/>
    <n v="5.450733752620545E-2"/>
  </r>
  <r>
    <x v="6"/>
    <x v="10"/>
    <n v="575"/>
    <n v="86"/>
    <n v="53"/>
    <n v="714"/>
    <n v="0.80532212885154064"/>
    <n v="0.12044817927170869"/>
    <n v="7.42296918767507E-2"/>
  </r>
  <r>
    <x v="7"/>
    <x v="0"/>
    <n v="41"/>
    <n v="12"/>
    <n v="9"/>
    <n v="62"/>
    <n v="0.66129032258064513"/>
    <n v="0.19354838709677419"/>
    <n v="0.14516129032258066"/>
  </r>
  <r>
    <x v="7"/>
    <x v="1"/>
    <n v="115"/>
    <n v="9"/>
    <n v="7"/>
    <n v="131"/>
    <n v="0.87786259541984735"/>
    <n v="6.8702290076335881E-2"/>
    <n v="5.3435114503816793E-2"/>
  </r>
  <r>
    <x v="7"/>
    <x v="2"/>
    <n v="79"/>
    <n v="32"/>
    <n v="33"/>
    <n v="144"/>
    <n v="0.54861111111111116"/>
    <n v="0.22222222222222221"/>
    <n v="0.22916666666666666"/>
  </r>
  <r>
    <x v="7"/>
    <x v="3"/>
    <n v="86"/>
    <n v="28"/>
    <n v="2"/>
    <n v="116"/>
    <n v="0.74137931034482762"/>
    <n v="0.2413793103448276"/>
    <n v="1.7241379310344827E-2"/>
  </r>
  <r>
    <x v="7"/>
    <x v="4"/>
    <n v="43"/>
    <n v="12"/>
    <n v="69"/>
    <n v="124"/>
    <n v="0.34677419354838712"/>
    <n v="9.6774193548387094E-2"/>
    <n v="0.55645161290322576"/>
  </r>
  <r>
    <x v="7"/>
    <x v="5"/>
    <n v="107"/>
    <n v="38"/>
    <n v="49"/>
    <n v="194"/>
    <n v="0.55154639175257736"/>
    <n v="0.19587628865979381"/>
    <n v="0.25257731958762886"/>
  </r>
  <r>
    <x v="7"/>
    <x v="6"/>
    <n v="189"/>
    <n v="13"/>
    <n v="3"/>
    <n v="205"/>
    <n v="0.92195121951219516"/>
    <n v="6.3414634146341464E-2"/>
    <n v="1.4634146341463415E-2"/>
  </r>
  <r>
    <x v="7"/>
    <x v="7"/>
    <n v="5"/>
    <n v="3"/>
    <n v="13"/>
    <n v="21"/>
    <n v="0.23809523809523808"/>
    <n v="0.14285714285714285"/>
    <n v="0.61904761904761907"/>
  </r>
  <r>
    <x v="7"/>
    <x v="8"/>
    <n v="61"/>
    <n v="9"/>
    <n v="48"/>
    <n v="118"/>
    <n v="0.51694915254237284"/>
    <n v="7.6271186440677971E-2"/>
    <n v="0.40677966101694918"/>
  </r>
  <r>
    <x v="7"/>
    <x v="9"/>
    <n v="113"/>
    <n v="2"/>
    <n v="3"/>
    <n v="118"/>
    <n v="0.9576271186440678"/>
    <n v="1.6949152542372881E-2"/>
    <n v="2.5423728813559324E-2"/>
  </r>
  <r>
    <x v="7"/>
    <x v="10"/>
    <n v="48"/>
    <n v="5"/>
    <n v="3"/>
    <n v="56"/>
    <n v="0.8571428571428571"/>
    <n v="8.9285714285714288E-2"/>
    <n v="5.3571428571428568E-2"/>
  </r>
  <r>
    <x v="8"/>
    <x v="0"/>
    <n v="21"/>
    <n v="8"/>
    <n v="9"/>
    <n v="38"/>
    <n v="0.55263157894736847"/>
    <n v="0.21052631578947367"/>
    <n v="0.23684210526315788"/>
  </r>
  <r>
    <x v="8"/>
    <x v="1"/>
    <n v="50"/>
    <n v="2"/>
    <n v="3"/>
    <n v="55"/>
    <n v="0.90909090909090906"/>
    <n v="3.6363636363636362E-2"/>
    <n v="5.4545454545454543E-2"/>
  </r>
  <r>
    <x v="8"/>
    <x v="2"/>
    <n v="11"/>
    <n v="8"/>
    <n v="38"/>
    <n v="57"/>
    <n v="0.19298245614035087"/>
    <n v="0.14035087719298245"/>
    <n v="0.66666666666666663"/>
  </r>
  <r>
    <x v="8"/>
    <x v="3"/>
    <n v="39"/>
    <n v="6"/>
    <n v="2"/>
    <n v="47"/>
    <n v="0.82978723404255317"/>
    <n v="0.1276595744680851"/>
    <n v="4.2553191489361701E-2"/>
  </r>
  <r>
    <x v="8"/>
    <x v="4"/>
    <n v="10"/>
    <n v="0"/>
    <n v="42"/>
    <n v="52"/>
    <n v="0.19230769230769232"/>
    <n v="0"/>
    <n v="0.80769230769230771"/>
  </r>
  <r>
    <x v="8"/>
    <x v="5"/>
    <n v="34"/>
    <n v="29"/>
    <n v="17"/>
    <n v="80"/>
    <n v="0.42499999999999999"/>
    <n v="0.36249999999999999"/>
    <n v="0.21249999999999999"/>
  </r>
  <r>
    <x v="8"/>
    <x v="6"/>
    <n v="76"/>
    <n v="5"/>
    <n v="1"/>
    <n v="82"/>
    <n v="0.92682926829268297"/>
    <n v="6.097560975609756E-2"/>
    <n v="1.2195121951219513E-2"/>
  </r>
  <r>
    <x v="8"/>
    <x v="7"/>
    <n v="1"/>
    <n v="2"/>
    <n v="1"/>
    <n v="4"/>
    <n v="0.25"/>
    <n v="0.5"/>
    <n v="0.25"/>
  </r>
  <r>
    <x v="8"/>
    <x v="8"/>
    <n v="11"/>
    <n v="0"/>
    <n v="38"/>
    <n v="49"/>
    <n v="0.22448979591836735"/>
    <n v="0"/>
    <n v="0.77551020408163263"/>
  </r>
  <r>
    <x v="8"/>
    <x v="9"/>
    <n v="45"/>
    <n v="7"/>
    <n v="0"/>
    <n v="52"/>
    <n v="0.86538461538461542"/>
    <n v="0.13461538461538461"/>
    <n v="0"/>
  </r>
  <r>
    <x v="8"/>
    <x v="10"/>
    <n v="7"/>
    <n v="2"/>
    <n v="0"/>
    <n v="9"/>
    <n v="0.77777777777777779"/>
    <n v="0.22222222222222221"/>
    <n v="0"/>
  </r>
  <r>
    <x v="9"/>
    <x v="0"/>
    <n v="68"/>
    <n v="36"/>
    <n v="25"/>
    <n v="129"/>
    <n v="0.52713178294573648"/>
    <n v="0.27906976744186046"/>
    <n v="0.19379844961240311"/>
  </r>
  <r>
    <x v="9"/>
    <x v="1"/>
    <n v="145"/>
    <n v="4"/>
    <n v="0"/>
    <n v="149"/>
    <n v="0.97315436241610742"/>
    <n v="2.6845637583892617E-2"/>
    <n v="0"/>
  </r>
  <r>
    <x v="9"/>
    <x v="2"/>
    <n v="48"/>
    <n v="18"/>
    <n v="87"/>
    <n v="153"/>
    <n v="0.31372549019607843"/>
    <n v="0.11764705882352941"/>
    <n v="0.56862745098039214"/>
  </r>
  <r>
    <x v="9"/>
    <x v="3"/>
    <n v="81"/>
    <n v="33"/>
    <n v="21"/>
    <n v="135"/>
    <n v="0.6"/>
    <n v="0.24444444444444444"/>
    <n v="0.15555555555555556"/>
  </r>
  <r>
    <x v="9"/>
    <x v="4"/>
    <n v="30"/>
    <n v="16"/>
    <n v="96"/>
    <n v="142"/>
    <n v="0.21126760563380281"/>
    <n v="0.11267605633802817"/>
    <n v="0.676056338028169"/>
  </r>
  <r>
    <x v="9"/>
    <x v="5"/>
    <n v="78"/>
    <n v="57"/>
    <n v="14"/>
    <n v="149"/>
    <n v="0.52348993288590606"/>
    <n v="0.3825503355704698"/>
    <n v="9.3959731543624164E-2"/>
  </r>
  <r>
    <x v="9"/>
    <x v="6"/>
    <n v="151"/>
    <n v="0"/>
    <n v="1"/>
    <n v="152"/>
    <n v="0.99342105263157898"/>
    <n v="0"/>
    <n v="6.5789473684210523E-3"/>
  </r>
  <r>
    <x v="9"/>
    <x v="7"/>
    <n v="1"/>
    <n v="1"/>
    <n v="7"/>
    <n v="9"/>
    <n v="0.1111111111111111"/>
    <n v="0.1111111111111111"/>
    <n v="0.77777777777777779"/>
  </r>
  <r>
    <x v="9"/>
    <x v="8"/>
    <n v="54"/>
    <n v="6"/>
    <n v="77"/>
    <n v="137"/>
    <n v="0.39416058394160586"/>
    <n v="4.3795620437956206E-2"/>
    <n v="0.56204379562043794"/>
  </r>
  <r>
    <x v="9"/>
    <x v="9"/>
    <n v="139"/>
    <n v="1"/>
    <n v="2"/>
    <n v="142"/>
    <n v="0.97887323943661975"/>
    <n v="7.0422535211267607E-3"/>
    <n v="1.4084507042253521E-2"/>
  </r>
  <r>
    <x v="9"/>
    <x v="10"/>
    <n v="13"/>
    <n v="1"/>
    <n v="0"/>
    <n v="14"/>
    <n v="0.9285714285714286"/>
    <n v="7.1428571428571425E-2"/>
    <n v="0"/>
  </r>
  <r>
    <x v="10"/>
    <x v="0"/>
    <n v="20"/>
    <n v="4"/>
    <n v="4"/>
    <n v="28"/>
    <n v="0.7142857142857143"/>
    <n v="0.14285714285714285"/>
    <n v="0.14285714285714285"/>
  </r>
  <r>
    <x v="10"/>
    <x v="1"/>
    <n v="39"/>
    <n v="3"/>
    <n v="0"/>
    <n v="42"/>
    <n v="0.9285714285714286"/>
    <n v="7.1428571428571425E-2"/>
    <n v="0"/>
  </r>
  <r>
    <x v="10"/>
    <x v="2"/>
    <n v="16"/>
    <n v="15"/>
    <n v="15"/>
    <n v="46"/>
    <n v="0.34782608695652173"/>
    <n v="0.32608695652173914"/>
    <n v="0.32608695652173914"/>
  </r>
  <r>
    <x v="10"/>
    <x v="3"/>
    <n v="30"/>
    <n v="5"/>
    <n v="4"/>
    <n v="39"/>
    <n v="0.76923076923076927"/>
    <n v="0.12820512820512819"/>
    <n v="0.10256410256410256"/>
  </r>
  <r>
    <x v="10"/>
    <x v="4"/>
    <n v="18"/>
    <n v="5"/>
    <n v="20"/>
    <n v="43"/>
    <n v="0.41860465116279072"/>
    <n v="0.11627906976744186"/>
    <n v="0.46511627906976744"/>
  </r>
  <r>
    <x v="10"/>
    <x v="5"/>
    <n v="37"/>
    <n v="6"/>
    <n v="3"/>
    <n v="46"/>
    <n v="0.80434782608695654"/>
    <n v="0.13043478260869565"/>
    <n v="6.5217391304347824E-2"/>
  </r>
  <r>
    <x v="10"/>
    <x v="6"/>
    <n v="44"/>
    <n v="0"/>
    <n v="2"/>
    <n v="46"/>
    <n v="0.95652173913043481"/>
    <n v="0"/>
    <n v="4.3478260869565216E-2"/>
  </r>
  <r>
    <x v="10"/>
    <x v="7"/>
    <n v="3"/>
    <n v="0"/>
    <n v="6"/>
    <n v="9"/>
    <n v="0.33333333333333331"/>
    <n v="0"/>
    <n v="0.66666666666666663"/>
  </r>
  <r>
    <x v="10"/>
    <x v="8"/>
    <n v="22"/>
    <n v="2"/>
    <n v="18"/>
    <n v="42"/>
    <n v="0.52380952380952384"/>
    <n v="4.7619047619047616E-2"/>
    <n v="0.42857142857142855"/>
  </r>
  <r>
    <x v="10"/>
    <x v="9"/>
    <n v="38"/>
    <n v="2"/>
    <n v="1"/>
    <n v="41"/>
    <n v="0.92682926829268297"/>
    <n v="4.878048780487805E-2"/>
    <n v="2.4390243902439025E-2"/>
  </r>
  <r>
    <x v="10"/>
    <x v="10"/>
    <n v="11"/>
    <n v="1"/>
    <n v="2"/>
    <n v="14"/>
    <n v="0.7857142857142857"/>
    <n v="7.1428571428571425E-2"/>
    <n v="0.14285714285714285"/>
  </r>
  <r>
    <x v="11"/>
    <x v="0"/>
    <n v="75"/>
    <n v="27"/>
    <n v="26"/>
    <n v="128"/>
    <n v="0.5859375"/>
    <n v="0.2109375"/>
    <n v="0.203125"/>
  </r>
  <r>
    <x v="11"/>
    <x v="1"/>
    <n v="210"/>
    <n v="23"/>
    <n v="1"/>
    <n v="234"/>
    <n v="0.89743589743589747"/>
    <n v="9.8290598290598288E-2"/>
    <n v="4.2735042735042739E-3"/>
  </r>
  <r>
    <x v="11"/>
    <x v="2"/>
    <n v="125"/>
    <n v="58"/>
    <n v="70"/>
    <n v="253"/>
    <n v="0.49407114624505927"/>
    <n v="0.22924901185770752"/>
    <n v="0.27667984189723321"/>
  </r>
  <r>
    <x v="11"/>
    <x v="3"/>
    <n v="170"/>
    <n v="34"/>
    <n v="13"/>
    <n v="217"/>
    <n v="0.78341013824884798"/>
    <n v="0.15668202764976957"/>
    <n v="5.9907834101382486E-2"/>
  </r>
  <r>
    <x v="11"/>
    <x v="4"/>
    <n v="89"/>
    <n v="33"/>
    <n v="110"/>
    <n v="232"/>
    <n v="0.38362068965517243"/>
    <n v="0.14224137931034483"/>
    <n v="0.47413793103448276"/>
  </r>
  <r>
    <x v="11"/>
    <x v="5"/>
    <n v="139"/>
    <n v="85"/>
    <n v="66"/>
    <n v="290"/>
    <n v="0.47931034482758622"/>
    <n v="0.29310344827586204"/>
    <n v="0.22758620689655173"/>
  </r>
  <r>
    <x v="11"/>
    <x v="6"/>
    <n v="263"/>
    <n v="25"/>
    <n v="10"/>
    <n v="298"/>
    <n v="0.8825503355704698"/>
    <n v="8.3892617449664433E-2"/>
    <n v="3.3557046979865772E-2"/>
  </r>
  <r>
    <x v="11"/>
    <x v="7"/>
    <n v="36"/>
    <n v="23"/>
    <n v="20"/>
    <n v="79"/>
    <n v="0.45569620253164556"/>
    <n v="0.29113924050632911"/>
    <n v="0.25316455696202533"/>
  </r>
  <r>
    <x v="11"/>
    <x v="8"/>
    <n v="104"/>
    <n v="35"/>
    <n v="74"/>
    <n v="213"/>
    <n v="0.48826291079812206"/>
    <n v="0.16431924882629109"/>
    <n v="0.34741784037558687"/>
  </r>
  <r>
    <x v="11"/>
    <x v="9"/>
    <n v="203"/>
    <n v="5"/>
    <n v="8"/>
    <n v="216"/>
    <n v="0.93981481481481477"/>
    <n v="2.3148148148148147E-2"/>
    <n v="3.7037037037037035E-2"/>
  </r>
  <r>
    <x v="11"/>
    <x v="10"/>
    <n v="86"/>
    <n v="22"/>
    <n v="17"/>
    <n v="125"/>
    <n v="0.68799999999999994"/>
    <n v="0.17599999999999999"/>
    <n v="0.13600000000000001"/>
  </r>
  <r>
    <x v="12"/>
    <x v="0"/>
    <n v="10"/>
    <n v="7"/>
    <n v="5"/>
    <n v="22"/>
    <n v="0.45454545454545453"/>
    <n v="0.31818181818181818"/>
    <n v="0.22727272727272727"/>
  </r>
  <r>
    <x v="12"/>
    <x v="1"/>
    <n v="26"/>
    <n v="4"/>
    <n v="0"/>
    <n v="30"/>
    <n v="0.8666666666666667"/>
    <n v="0.13333333333333333"/>
    <n v="0"/>
  </r>
  <r>
    <x v="12"/>
    <x v="2"/>
    <n v="11"/>
    <n v="3"/>
    <n v="18"/>
    <n v="32"/>
    <n v="0.34375"/>
    <n v="9.375E-2"/>
    <n v="0.5625"/>
  </r>
  <r>
    <x v="12"/>
    <x v="3"/>
    <n v="13"/>
    <n v="10"/>
    <n v="5"/>
    <n v="28"/>
    <n v="0.4642857142857143"/>
    <n v="0.35714285714285715"/>
    <n v="0.17857142857142858"/>
  </r>
  <r>
    <x v="12"/>
    <x v="4"/>
    <n v="8"/>
    <n v="2"/>
    <n v="20"/>
    <n v="30"/>
    <n v="0.26666666666666666"/>
    <n v="6.6666666666666666E-2"/>
    <n v="0.66666666666666663"/>
  </r>
  <r>
    <x v="12"/>
    <x v="5"/>
    <n v="19"/>
    <n v="14"/>
    <n v="4"/>
    <n v="37"/>
    <n v="0.51351351351351349"/>
    <n v="0.3783783783783784"/>
    <n v="0.10810810810810811"/>
  </r>
  <r>
    <x v="12"/>
    <x v="6"/>
    <n v="36"/>
    <n v="2"/>
    <n v="1"/>
    <n v="39"/>
    <n v="0.92307692307692313"/>
    <n v="5.128205128205128E-2"/>
    <n v="2.564102564102564E-2"/>
  </r>
  <r>
    <x v="12"/>
    <x v="7"/>
    <n v="1"/>
    <n v="0"/>
    <n v="1"/>
    <n v="2"/>
    <n v="0.5"/>
    <n v="0"/>
    <n v="0.5"/>
  </r>
  <r>
    <x v="12"/>
    <x v="8"/>
    <n v="9"/>
    <n v="1"/>
    <n v="17"/>
    <n v="27"/>
    <n v="0.33333333333333331"/>
    <n v="3.7037037037037035E-2"/>
    <n v="0.62962962962962965"/>
  </r>
  <r>
    <x v="12"/>
    <x v="9"/>
    <n v="23"/>
    <n v="2"/>
    <n v="1"/>
    <n v="26"/>
    <n v="0.88461538461538458"/>
    <n v="7.6923076923076927E-2"/>
    <n v="3.8461538461538464E-2"/>
  </r>
  <r>
    <x v="12"/>
    <x v="10"/>
    <n v="8"/>
    <n v="1"/>
    <n v="1"/>
    <n v="10"/>
    <n v="0.8"/>
    <n v="0.1"/>
    <n v="0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335978-D2AF-46A9-AAAA-E269CFBBC0B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H4:I18" firstHeaderRow="1" firstDataRow="1" firstDataCol="1" rowPageCount="1" colPageCount="1"/>
  <pivotFields count="4">
    <pivotField axis="axisRow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x="12"/>
        <item t="default"/>
      </items>
    </pivotField>
    <pivotField axis="axisPage" showAll="0">
      <items count="23">
        <item x="0"/>
        <item x="1"/>
        <item m="1" x="13"/>
        <item x="2"/>
        <item m="1" x="14"/>
        <item m="1" x="15"/>
        <item x="3"/>
        <item x="4"/>
        <item m="1" x="16"/>
        <item m="1" x="17"/>
        <item x="5"/>
        <item m="1" x="18"/>
        <item m="1" x="19"/>
        <item x="6"/>
        <item m="1" x="20"/>
        <item x="7"/>
        <item x="8"/>
        <item x="9"/>
        <item x="10"/>
        <item m="1" x="21"/>
        <item x="11"/>
        <item x="12"/>
        <item t="default"/>
      </items>
    </pivotField>
    <pivotField dataField="1" numFmtId="164" showAll="0"/>
    <pivotField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1" item="0" hier="-1"/>
  </pageFields>
  <dataFields count="1">
    <dataField name="Average of CentilXA" fld="2" subtotal="average" baseField="0" baseItem="0" numFmtId="164"/>
  </dataFields>
  <conditionalFormats count="2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1F8AC9-8CC5-4E08-995C-C481136EF10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K4:M18" firstHeaderRow="0" firstDataRow="1" firstDataCol="1" rowPageCount="1" colPageCount="1"/>
  <pivotFields count="9">
    <pivotField axis="axisRow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0"/>
        <item x="12"/>
        <item t="default"/>
      </items>
    </pivotField>
    <pivotField axis="axisPage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pageFields count="1">
    <pageField fld="1" item="0" hier="-1"/>
  </pageFields>
  <dataFields count="2">
    <dataField name="Average of Tvegano%" fld="8" subtotal="average" baseField="0" baseItem="0"/>
    <dataField name="Average of Mejno%" fld="7" subtotal="average" baseField="0" baseItem="0"/>
  </dataFields>
  <formats count="1">
    <format dxfId="0">
      <pivotArea collapsedLevelsAreSubtotals="1" fieldPosition="0">
        <references count="1">
          <reference field="0" count="0"/>
        </references>
      </pivotArea>
    </format>
  </formats>
  <chartFormats count="3"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4-03T04:11:08.84" personId="{B0A86080-3FF1-41DA-B9EB-1C8139C00CC1}" id="{F4841313-2AC6-4AB8-9D8D-A918BDBEDA73}">
    <text>--statistike meritve (centili, cone) ločeno po testu za udeležence OKS projekta Zmigaj_se_do_vadbe (ZV) - regije in SLO
--BL, 2026-04-01
-- definicija baterij kot table variable
DECLARE @Baterije TABLE (ID INT);
INSERT INTO @Baterije (ID)
VALUES (18), (19), (20), (21), (25), (26);
-- =========================
-- CENTILI
-- =========================
-- centili Slovenija
SELECT 
    'Slovenija' as Regija,
    t.Ime AS Test,
    AVG(r.CentilniRang1) AS CentilXA,
    COUNT(r.CentilniRang1) AS N
FROM TestVbateriji tv
JOIN Test t 
    ON t.ID = tv.IdTest
JOIN Rezultat r
    ON r.IdTest = t.ID
JOIN Merjenec m 
    ON m.ID = r.IdMerjenec
JOIN Meritev me
    ON me.ID = m.IdMeritev
JOIN DostopUporabnikaDoClana du
    ON du.IdClan = m.IdClan
WHERE du.IdVloga = 10
  AND r.CentilniRang1 IS NOT NULL
  AND tv.IdBaterija IN (SELECT ID FROM @Baterije)
  AND me.BaterijaTestov IN (SELECT ID FROM @Baterije)
GROUP BY 
    t.Ime
UNION ALL
-- centili regije
SELECT
    rgn.Name AS Regija,
    t.Ime AS Test,
    AVG(r.CentilniRang1) AS CentilXA,
    COUNT(r.CentilniRang1) AS N
FROM TestVbateriji tv
JOIN Test t 
    ON t.ID = tv.IdTest
JOIN Rezultat r
    ON r.IdTest = t.ID
JOIN Merjenec m 
    ON m.ID = r.IdMerjenec
JOIN Meritev me
    ON me.ID = m.IdMeritev
JOIN DostopUporabnikaDoClana du
    ON du.IdClan = m.IdClan
JOIN Uporabnik u
    ON u.ID = du.IdUporabnik
JOIN PostalCodes pc
    ON pc.ID = u.PostalCodeID
JOIN fitnessMapRegions rgn
    ON rgn.ID = pc.RegionID
WHERE du.IdVloga = 10
  AND r.CentilniRang1 IS NOT NULL
  AND tv.IdBaterija IN (SELECT ID FROM @Baterije)
  AND me.BaterijaTestov IN (SELECT ID FROM @Baterije)
GROUP BY 
    rgn.Name,
    t.Ime
ORDER BY 
    Regija,
    Test;
-- =========================
-- CONE
-- =========================
-- cone Slovenija
SELECT 
    'Slovenija' as Regija,
    te.Ime AS TestIme,
    SUM(CASE WHEN r.ConaBarva = '#9ac263' THEN 1 ELSE 0 END) AS Zdravo,
    SUM(CASE WHEN r.ConaBarva = '#ffd54e' THEN 1 ELSE 0 END) AS Mejno,
    SUM(CASE WHEN r.ConaBarva = '#df3127' THEN 1 ELSE 0 END) AS Tvegano
FROM Rezultat r
JOIN Merjenec m 
    ON m.ID = r.IdMerjenec
JOIN Meritev me
    ON me.ID = m.IdMeritev
JOIN Clan c
    ON c.ID = m.IdClan
JOIN Test te
    ON te.ID = r.IdTest
WHERE me.BaterijaTestov IN (SELECT ID FROM @Baterije)
  AND r.ConaBarva IN ('#9ac263', '#df3127', '#ffd54e')
GROUP BY
    te.Ime
UNION ALL
-- cone regije
SELECT
    rgn.Name AS Regija,
    te.Ime AS TestIme,
    SUM(CASE WHEN r.ConaBarva = '#9ac263' THEN 1 ELSE 0 END) AS Zdravo,
    SUM(CASE WHEN r.ConaBarva = '#ffd54e' THEN 1 ELSE 0 END) AS Mejno,
    SUM(CASE WHEN r.ConaBarva = '#df3127' THEN 1 ELSE 0 END) AS Tvegano
FROM Rezultat r
JOIN Merjenec m 
    ON m.ID = r.IdMerjenec
JOIN Meritev me
    ON me.ID = m.IdMeritev
JOIN Clan c
    ON c.ID = m.IdClan
JOIN DostopUporabnikaDoClana du
    ON du.IdClan = c.ID
JOIN Uporabnik u
    ON u.ID = du.IdUporabnik
JOIN PostalCodes pc
    ON pc.ID = u.PostalCodeID
JOIN fitnessMapRegions rgn
    ON rgn.ID = pc.RegionID
JOIN Test te
    ON te.ID = r.IdTest
WHERE me.BaterijaTestov IN (SELECT ID FROM @Baterije)
  AND du.IdVloga = 10
  AND r.ConaBarva IN ('#9ac263', '#ffd54e', '#df3127')
GROUP BY
    rgn.Name,
    te.Ime
ORDER BY
    Regija,
    TestIme;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6-04-03T05:49:55.82" personId="{B0A86080-3FF1-41DA-B9EB-1C8139C00CC1}" id="{BFFC901B-821E-4A6C-8204-68AA98345E97}">
    <text>-- definicija baterij kot table variable
DECLARE @Baterije TABLE (ID INT);
INSERT INTO @Baterije (ID)
VALUES (18), (19), (20), (21), (25), (26);
-- =========================
-- CENTILI
-- =========================
-- centili Slovenija
SELECT 
    'Slovenija' as Regija,
    t.Ime AS Test,
    AVG(r.CentilniRang1) AS CentilXA,
    COUNT(r.CentilniRang1) AS N
FROM TestVbateriji tv
JOIN Test t 
    ON t.ID = tv.IdTest
JOIN Rezultat r
    ON r.IdTest = t.ID
JOIN Merjenec m 
    ON m.ID = r.IdMerjenec
JOIN Meritev me
    ON me.ID = m.IdMeritev
JOIN DostopUporabnikaDoClana du
    ON du.IdClan = m.IdClan
WHERE du.IdVloga = 10
  AND r.CentilniRang1 IS NOT NULL
  AND tv.IdBaterija IN (SELECT ID FROM @Baterije)
  AND me.BaterijaTestov IN (SELECT ID FROM @Baterije)
GROUP BY 
    t.Ime
UNION ALL
-- centili regije
SELECT
    rgn.Name AS Regija,
    t.Ime AS Test,
    AVG(r.CentilniRang1) AS CentilXA,
    COUNT(r.CentilniRang1) AS N
FROM TestVbateriji tv
JOIN Test t 
    ON t.ID = tv.IdTest
JOIN Rezultat r
    ON r.IdTest = t.ID
JOIN Merjenec m 
    ON m.ID = r.IdMerjenec
JOIN Meritev me
    ON me.ID = m.IdMeritev
JOIN DostopUporabnikaDoClana du
    ON du.IdClan = m.IdClan
JOIN Uporabnik u
    ON u.ID = du.IdUporabnik
JOIN PostalCodes pc
    ON pc.ID = u.PostalCodeID
JOIN fitnessMapRegions rgn
    ON rgn.ID = pc.RegionID
WHERE du.IdVloga = 10
  AND r.CentilniRang1 IS NOT NULL
  AND tv.IdBaterija IN (SELECT ID FROM @Baterije)
  AND me.BaterijaTestov IN (SELECT ID FROM @Baterije)
GROUP BY 
    rgn.Name,
    t.Ime
ORDER BY 
    Regija,
    Test;
-- =========================
-- CONE
-- =========================
-- cone Slovenija
SELECT 
    'Slovenija' as Regija,
    te.Ime AS TestIme,
    SUM(CASE WHEN r.ConaBarva = '#9ac263' THEN 1 ELSE 0 END) AS Zdravo,
    SUM(CASE WHEN r.ConaBarva = '#ffd54e' THEN 1 ELSE 0 END) AS Mejno,
    SUM(CASE WHEN r.ConaBarva = '#df3127' THEN 1 ELSE 0 END) AS Tvegano
FROM Rezultat r
JOIN Merjenec m 
    ON m.ID = r.IdMerjenec
JOIN Meritev me
    ON me.ID = m.IdMeritev
JOIN Clan c
    ON c.ID = m.IdClan
JOIN Test te
    ON te.ID = r.IdTest
WHERE me.BaterijaTestov IN (SELECT ID FROM @Baterije)
  AND r.ConaBarva IN ('#9ac263', '#df3127', '#ffd54e')
GROUP BY
    te.Ime
UNION ALL
-- cone regije
SELECT
    rgn.Name AS Regija,
    te.Ime AS TestIme,
    SUM(CASE WHEN r.ConaBarva = '#9ac263' THEN 1 ELSE 0 END) AS Zdravo,
    SUM(CASE WHEN r.ConaBarva = '#ffd54e' THEN 1 ELSE 0 END) AS Mejno,
    SUM(CASE WHEN r.ConaBarva = '#df3127' THEN 1 ELSE 0 END) AS Tvegano
FROM Rezultat r
JOIN Merjenec m 
    ON m.ID = r.IdMerjenec
JOIN Meritev me
    ON me.ID = m.IdMeritev
JOIN Clan c
    ON c.ID = m.IdClan
JOIN DostopUporabnikaDoClana du
    ON du.IdClan = c.ID
JOIN Uporabnik u
    ON u.ID = du.IdUporabnik
JOIN PostalCodes pc
    ON pc.ID = u.PostalCodeID
JOIN fitnessMapRegions rgn
    ON rgn.ID = pc.RegionID
JOIN Test te
    ON te.ID = r.IdTest
WHERE me.BaterijaTestov IN (SELECT ID FROM @Baterije)
  AND du.IdVloga = 10
  AND r.ConaBarva IN ('#9ac263', '#ffd54e', '#df3127')
GROUP BY
    rgn.Name,
    te.Ime
ORDER BY
    Regija,
    TestIme;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" dT="2026-04-01T17:39:40.25" personId="{B0A86080-3FF1-41DA-B9EB-1C8139C00CC1}" id="{27CA99E9-B9D0-4DB6-9B7E-D9517DFCF062}">
    <text>SELECT TABLE_NAME FROM INFORMATION_SCHEMA.TABLES where TABLE_NAME like '%regi%'  --WHERE TABLE_TYPE='BASE TABLE'
select top 945 * from FitnessMapStates --212 občin
select top 45 * from FitnessMapRegions --12 regij
select top 945 * from FitnessMapStateInRegion --212 povezav
select top 945 * from PostalCodes -- 483 pošte</text>
  </threadedComment>
  <threadedComment ref="E1" dT="2026-04-02T16:40:05.00" personId="{B0A86080-3FF1-41DA-B9EB-1C8139C00CC1}" id="{FFBCDB00-2945-45C1-A471-2CFEEE31329C}">
    <text>ALTER TABLE postalCodes ADD RegionID INT;
ALTER TABLE postalCodes
ADD CONSTRAINT FK_postalCodes_Region
FOREIGN KEY (RegionID)
REFERENCES fitnessMapRegions(ID);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32429-7C2F-4F66-8473-E5883182A4B5}">
  <dimension ref="A1:E2"/>
  <sheetViews>
    <sheetView workbookViewId="0">
      <selection activeCell="C1" sqref="C1"/>
    </sheetView>
  </sheetViews>
  <sheetFormatPr defaultRowHeight="14.4" x14ac:dyDescent="0.3"/>
  <cols>
    <col min="1" max="1" width="4.6640625" customWidth="1"/>
    <col min="4" max="4" width="16.44140625" bestFit="1" customWidth="1"/>
    <col min="5" max="5" width="17.44140625" bestFit="1" customWidth="1"/>
  </cols>
  <sheetData>
    <row r="1" spans="1:5" x14ac:dyDescent="0.3">
      <c r="A1" t="s">
        <v>0</v>
      </c>
      <c r="B1" t="s">
        <v>502</v>
      </c>
      <c r="C1" t="s">
        <v>4</v>
      </c>
      <c r="D1" t="s">
        <v>513</v>
      </c>
      <c r="E1" t="s">
        <v>503</v>
      </c>
    </row>
    <row r="2" spans="1:5" x14ac:dyDescent="0.3">
      <c r="A2">
        <v>1</v>
      </c>
      <c r="B2">
        <v>47894</v>
      </c>
      <c r="C2">
        <v>8</v>
      </c>
      <c r="D2" t="s">
        <v>514</v>
      </c>
      <c r="E2" t="s">
        <v>504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9FDDB-4B6F-4B7B-90FA-3D344ADEA498}">
  <dimension ref="A1:I172"/>
  <sheetViews>
    <sheetView workbookViewId="0">
      <pane ySplit="1" topLeftCell="A2" activePane="bottomLeft" state="frozen"/>
      <selection pane="bottomLeft" activeCell="F24" sqref="F24"/>
    </sheetView>
  </sheetViews>
  <sheetFormatPr defaultRowHeight="14.4" x14ac:dyDescent="0.3"/>
  <cols>
    <col min="1" max="1" width="9.21875" bestFit="1" customWidth="1"/>
    <col min="2" max="2" width="17.44140625" bestFit="1" customWidth="1"/>
    <col min="3" max="3" width="7.77734375" style="4" bestFit="1" customWidth="1"/>
    <col min="8" max="8" width="18.77734375" bestFit="1" customWidth="1"/>
    <col min="9" max="9" width="18.109375" bestFit="1" customWidth="1"/>
  </cols>
  <sheetData>
    <row r="1" spans="1:9" x14ac:dyDescent="0.3">
      <c r="A1" t="s">
        <v>512</v>
      </c>
      <c r="B1" t="s">
        <v>506</v>
      </c>
      <c r="C1" s="4" t="s">
        <v>511</v>
      </c>
      <c r="D1" t="s">
        <v>516</v>
      </c>
    </row>
    <row r="2" spans="1:9" x14ac:dyDescent="0.3">
      <c r="A2" t="s">
        <v>505</v>
      </c>
      <c r="B2" t="s">
        <v>517</v>
      </c>
      <c r="C2">
        <v>44.1525868175721</v>
      </c>
      <c r="D2">
        <v>17658</v>
      </c>
      <c r="H2" s="5" t="s">
        <v>506</v>
      </c>
      <c r="I2" t="s">
        <v>517</v>
      </c>
    </row>
    <row r="3" spans="1:9" x14ac:dyDescent="0.3">
      <c r="A3" t="s">
        <v>505</v>
      </c>
      <c r="B3" t="s">
        <v>518</v>
      </c>
      <c r="C3">
        <v>66.618687603144096</v>
      </c>
      <c r="D3">
        <v>23142</v>
      </c>
    </row>
    <row r="4" spans="1:9" x14ac:dyDescent="0.3">
      <c r="A4" t="s">
        <v>505</v>
      </c>
      <c r="B4" t="s">
        <v>510</v>
      </c>
      <c r="C4">
        <v>56.0457133560095</v>
      </c>
      <c r="D4">
        <v>42291</v>
      </c>
      <c r="H4" s="5" t="s">
        <v>530</v>
      </c>
      <c r="I4" t="s">
        <v>532</v>
      </c>
    </row>
    <row r="5" spans="1:9" x14ac:dyDescent="0.3">
      <c r="A5" t="s">
        <v>505</v>
      </c>
      <c r="B5" t="s">
        <v>519</v>
      </c>
      <c r="C5">
        <v>53.941658365389102</v>
      </c>
      <c r="D5">
        <v>13896</v>
      </c>
      <c r="H5" s="6" t="s">
        <v>6</v>
      </c>
      <c r="I5" s="4">
        <v>47.213545978669501</v>
      </c>
    </row>
    <row r="6" spans="1:9" x14ac:dyDescent="0.3">
      <c r="A6" t="s">
        <v>505</v>
      </c>
      <c r="B6" t="s">
        <v>520</v>
      </c>
      <c r="C6">
        <v>33.554443752736603</v>
      </c>
      <c r="D6">
        <v>22698</v>
      </c>
      <c r="H6" s="6" t="s">
        <v>52</v>
      </c>
      <c r="I6" s="4">
        <v>49.2759144449562</v>
      </c>
    </row>
    <row r="7" spans="1:9" x14ac:dyDescent="0.3">
      <c r="A7" t="s">
        <v>505</v>
      </c>
      <c r="B7" t="s">
        <v>521</v>
      </c>
      <c r="C7">
        <v>42.063796955507797</v>
      </c>
      <c r="D7">
        <v>24795</v>
      </c>
      <c r="H7" s="6" t="s">
        <v>96</v>
      </c>
      <c r="I7" s="4">
        <v>45.754394202086303</v>
      </c>
    </row>
    <row r="8" spans="1:9" x14ac:dyDescent="0.3">
      <c r="A8" t="s">
        <v>505</v>
      </c>
      <c r="B8" t="s">
        <v>522</v>
      </c>
      <c r="C8">
        <v>49.446959302965503</v>
      </c>
      <c r="D8">
        <v>38129</v>
      </c>
      <c r="H8" s="6" t="s">
        <v>143</v>
      </c>
      <c r="I8" s="4">
        <v>38.9408789570046</v>
      </c>
    </row>
    <row r="9" spans="1:9" x14ac:dyDescent="0.3">
      <c r="A9" t="s">
        <v>505</v>
      </c>
      <c r="B9" t="s">
        <v>523</v>
      </c>
      <c r="C9">
        <v>45.5295653729886</v>
      </c>
      <c r="D9">
        <v>2664</v>
      </c>
      <c r="H9" s="6" t="s">
        <v>163</v>
      </c>
      <c r="I9" s="4">
        <v>42.328426016957202</v>
      </c>
    </row>
    <row r="10" spans="1:9" x14ac:dyDescent="0.3">
      <c r="A10" t="s">
        <v>505</v>
      </c>
      <c r="B10" t="s">
        <v>524</v>
      </c>
      <c r="C10">
        <v>50.282760555419898</v>
      </c>
      <c r="D10">
        <v>10698</v>
      </c>
      <c r="H10" s="6" t="s">
        <v>191</v>
      </c>
      <c r="I10" s="4">
        <v>43.466271724748701</v>
      </c>
    </row>
    <row r="11" spans="1:9" x14ac:dyDescent="0.3">
      <c r="A11" t="s">
        <v>505</v>
      </c>
      <c r="B11" t="s">
        <v>525</v>
      </c>
      <c r="C11">
        <v>48.127581426298804</v>
      </c>
      <c r="D11">
        <v>42345</v>
      </c>
      <c r="H11" s="6" t="s">
        <v>253</v>
      </c>
      <c r="I11" s="4">
        <v>56.857993241955697</v>
      </c>
    </row>
    <row r="12" spans="1:9" x14ac:dyDescent="0.3">
      <c r="A12" t="s">
        <v>505</v>
      </c>
      <c r="B12" t="s">
        <v>526</v>
      </c>
      <c r="C12">
        <v>60.016678297444301</v>
      </c>
      <c r="D12">
        <v>42561</v>
      </c>
      <c r="H12" s="6" t="s">
        <v>333</v>
      </c>
      <c r="I12" s="4">
        <v>56.042456384092503</v>
      </c>
    </row>
    <row r="13" spans="1:9" x14ac:dyDescent="0.3">
      <c r="A13" t="s">
        <v>505</v>
      </c>
      <c r="B13" t="s">
        <v>527</v>
      </c>
      <c r="C13">
        <v>79.423231204496801</v>
      </c>
      <c r="D13">
        <v>10983</v>
      </c>
      <c r="H13" s="6" t="s">
        <v>371</v>
      </c>
      <c r="I13" s="4">
        <v>37.202252778856902</v>
      </c>
    </row>
    <row r="14" spans="1:9" x14ac:dyDescent="0.3">
      <c r="A14" t="s">
        <v>505</v>
      </c>
      <c r="B14" t="s">
        <v>528</v>
      </c>
      <c r="C14">
        <v>54.874364979161598</v>
      </c>
      <c r="D14">
        <v>6324</v>
      </c>
      <c r="H14" s="6" t="s">
        <v>402</v>
      </c>
      <c r="I14" s="4">
        <v>49.362621388214997</v>
      </c>
    </row>
    <row r="15" spans="1:9" x14ac:dyDescent="0.3">
      <c r="A15" t="s">
        <v>505</v>
      </c>
      <c r="B15" t="s">
        <v>527</v>
      </c>
      <c r="C15" s="4">
        <v>79.469977064439007</v>
      </c>
      <c r="D15">
        <v>10902</v>
      </c>
      <c r="H15" s="6" t="s">
        <v>420</v>
      </c>
      <c r="I15" s="4">
        <v>52.909444525207498</v>
      </c>
    </row>
    <row r="16" spans="1:9" x14ac:dyDescent="0.3">
      <c r="A16" t="s">
        <v>505</v>
      </c>
      <c r="B16" t="s">
        <v>528</v>
      </c>
      <c r="C16" s="4">
        <v>64.907446013677202</v>
      </c>
      <c r="D16">
        <v>35468</v>
      </c>
      <c r="H16" s="6" t="s">
        <v>505</v>
      </c>
      <c r="I16" s="4">
        <v>44.1525868175721</v>
      </c>
    </row>
    <row r="17" spans="1:9" x14ac:dyDescent="0.3">
      <c r="A17" t="s">
        <v>6</v>
      </c>
      <c r="B17" t="s">
        <v>517</v>
      </c>
      <c r="C17">
        <v>47.213545978669501</v>
      </c>
      <c r="D17">
        <v>840</v>
      </c>
      <c r="H17" s="6" t="s">
        <v>491</v>
      </c>
      <c r="I17" s="4">
        <v>47.4406647863958</v>
      </c>
    </row>
    <row r="18" spans="1:9" x14ac:dyDescent="0.3">
      <c r="A18" t="s">
        <v>6</v>
      </c>
      <c r="B18" t="s">
        <v>518</v>
      </c>
      <c r="C18">
        <v>72.237031058870201</v>
      </c>
      <c r="D18">
        <v>978</v>
      </c>
      <c r="H18" s="6" t="s">
        <v>531</v>
      </c>
      <c r="I18" s="4">
        <v>46.995957788209083</v>
      </c>
    </row>
    <row r="19" spans="1:9" x14ac:dyDescent="0.3">
      <c r="A19" t="s">
        <v>6</v>
      </c>
      <c r="B19" t="s">
        <v>510</v>
      </c>
      <c r="C19">
        <v>54.762699953825198</v>
      </c>
      <c r="D19">
        <v>1840</v>
      </c>
    </row>
    <row r="20" spans="1:9" x14ac:dyDescent="0.3">
      <c r="A20" t="s">
        <v>6</v>
      </c>
      <c r="B20" t="s">
        <v>519</v>
      </c>
      <c r="C20">
        <v>52.853248619205502</v>
      </c>
      <c r="D20">
        <v>921</v>
      </c>
    </row>
    <row r="21" spans="1:9" x14ac:dyDescent="0.3">
      <c r="A21" t="s">
        <v>6</v>
      </c>
      <c r="B21" t="s">
        <v>520</v>
      </c>
      <c r="C21">
        <v>34.876460790062303</v>
      </c>
      <c r="D21">
        <v>915</v>
      </c>
    </row>
    <row r="22" spans="1:9" x14ac:dyDescent="0.3">
      <c r="A22" t="s">
        <v>6</v>
      </c>
      <c r="B22" t="s">
        <v>521</v>
      </c>
      <c r="C22">
        <v>40.964293248515702</v>
      </c>
      <c r="D22">
        <v>1640</v>
      </c>
    </row>
    <row r="23" spans="1:9" x14ac:dyDescent="0.3">
      <c r="A23" t="s">
        <v>6</v>
      </c>
      <c r="B23" t="s">
        <v>522</v>
      </c>
      <c r="C23">
        <v>55.165541594365003</v>
      </c>
      <c r="D23">
        <v>2235</v>
      </c>
    </row>
    <row r="24" spans="1:9" x14ac:dyDescent="0.3">
      <c r="A24" t="s">
        <v>6</v>
      </c>
      <c r="B24" t="s">
        <v>523</v>
      </c>
      <c r="C24">
        <v>46.878551800041599</v>
      </c>
      <c r="D24">
        <v>128</v>
      </c>
    </row>
    <row r="25" spans="1:9" x14ac:dyDescent="0.3">
      <c r="A25" t="s">
        <v>6</v>
      </c>
      <c r="B25" t="s">
        <v>524</v>
      </c>
      <c r="C25">
        <v>45.503812138950302</v>
      </c>
      <c r="D25">
        <v>894</v>
      </c>
    </row>
    <row r="26" spans="1:9" x14ac:dyDescent="0.3">
      <c r="A26" t="s">
        <v>6</v>
      </c>
      <c r="B26" t="s">
        <v>525</v>
      </c>
      <c r="C26">
        <v>49.966186886155199</v>
      </c>
      <c r="D26">
        <v>1840</v>
      </c>
    </row>
    <row r="27" spans="1:9" x14ac:dyDescent="0.3">
      <c r="A27" t="s">
        <v>6</v>
      </c>
      <c r="B27" t="s">
        <v>526</v>
      </c>
      <c r="C27">
        <v>62.248543180751497</v>
      </c>
      <c r="D27">
        <v>1870</v>
      </c>
    </row>
    <row r="28" spans="1:9" x14ac:dyDescent="0.3">
      <c r="A28" t="s">
        <v>6</v>
      </c>
      <c r="B28" t="s">
        <v>527</v>
      </c>
      <c r="C28">
        <v>78.480495039805305</v>
      </c>
      <c r="D28">
        <v>909</v>
      </c>
    </row>
    <row r="29" spans="1:9" x14ac:dyDescent="0.3">
      <c r="A29" t="s">
        <v>6</v>
      </c>
      <c r="B29" t="s">
        <v>528</v>
      </c>
      <c r="C29">
        <v>54.949695935723099</v>
      </c>
      <c r="D29">
        <v>384</v>
      </c>
    </row>
    <row r="30" spans="1:9" x14ac:dyDescent="0.3">
      <c r="A30" t="s">
        <v>52</v>
      </c>
      <c r="B30" t="s">
        <v>517</v>
      </c>
      <c r="C30">
        <v>49.2759144449562</v>
      </c>
      <c r="D30">
        <v>415</v>
      </c>
    </row>
    <row r="31" spans="1:9" x14ac:dyDescent="0.3">
      <c r="A31" t="s">
        <v>52</v>
      </c>
      <c r="B31" t="s">
        <v>518</v>
      </c>
      <c r="C31">
        <v>70.975397017767804</v>
      </c>
      <c r="D31">
        <v>276</v>
      </c>
    </row>
    <row r="32" spans="1:9" x14ac:dyDescent="0.3">
      <c r="A32" t="s">
        <v>52</v>
      </c>
      <c r="B32" t="s">
        <v>510</v>
      </c>
      <c r="C32">
        <v>55.587407278988202</v>
      </c>
      <c r="D32">
        <v>575</v>
      </c>
    </row>
    <row r="33" spans="1:4" x14ac:dyDescent="0.3">
      <c r="A33" t="s">
        <v>52</v>
      </c>
      <c r="B33" t="s">
        <v>519</v>
      </c>
      <c r="C33">
        <v>56.690009894014402</v>
      </c>
      <c r="D33">
        <v>258</v>
      </c>
    </row>
    <row r="34" spans="1:4" x14ac:dyDescent="0.3">
      <c r="A34" t="s">
        <v>52</v>
      </c>
      <c r="B34" t="s">
        <v>520</v>
      </c>
      <c r="C34">
        <v>37.2734520684483</v>
      </c>
      <c r="D34">
        <v>258</v>
      </c>
    </row>
    <row r="35" spans="1:4" x14ac:dyDescent="0.3">
      <c r="A35" t="s">
        <v>52</v>
      </c>
      <c r="B35" t="s">
        <v>521</v>
      </c>
      <c r="C35">
        <v>43.0866370327984</v>
      </c>
      <c r="D35">
        <v>612</v>
      </c>
    </row>
    <row r="36" spans="1:4" x14ac:dyDescent="0.3">
      <c r="A36" t="s">
        <v>52</v>
      </c>
      <c r="B36" t="s">
        <v>522</v>
      </c>
      <c r="C36">
        <v>54.269111627875297</v>
      </c>
      <c r="D36">
        <v>755</v>
      </c>
    </row>
    <row r="37" spans="1:4" x14ac:dyDescent="0.3">
      <c r="A37" t="s">
        <v>52</v>
      </c>
      <c r="B37" t="s">
        <v>523</v>
      </c>
      <c r="C37">
        <v>68.828051058530505</v>
      </c>
      <c r="D37">
        <v>11</v>
      </c>
    </row>
    <row r="38" spans="1:4" x14ac:dyDescent="0.3">
      <c r="A38" t="s">
        <v>52</v>
      </c>
      <c r="B38" t="s">
        <v>524</v>
      </c>
      <c r="C38">
        <v>54.693854108682103</v>
      </c>
      <c r="D38">
        <v>255</v>
      </c>
    </row>
    <row r="39" spans="1:4" x14ac:dyDescent="0.3">
      <c r="A39" t="s">
        <v>52</v>
      </c>
      <c r="B39" t="s">
        <v>525</v>
      </c>
      <c r="C39">
        <v>46.956681256753903</v>
      </c>
      <c r="D39">
        <v>580</v>
      </c>
    </row>
    <row r="40" spans="1:4" x14ac:dyDescent="0.3">
      <c r="A40" t="s">
        <v>52</v>
      </c>
      <c r="B40" t="s">
        <v>526</v>
      </c>
      <c r="C40">
        <v>58.668474682236003</v>
      </c>
      <c r="D40">
        <v>575</v>
      </c>
    </row>
    <row r="41" spans="1:4" x14ac:dyDescent="0.3">
      <c r="A41" t="s">
        <v>52</v>
      </c>
      <c r="B41" t="s">
        <v>527</v>
      </c>
      <c r="C41">
        <v>76.368802247026196</v>
      </c>
      <c r="D41">
        <v>252</v>
      </c>
    </row>
    <row r="42" spans="1:4" x14ac:dyDescent="0.3">
      <c r="A42" t="s">
        <v>52</v>
      </c>
      <c r="B42" t="s">
        <v>528</v>
      </c>
      <c r="C42">
        <v>51.7422096683147</v>
      </c>
      <c r="D42">
        <v>40</v>
      </c>
    </row>
    <row r="43" spans="1:4" x14ac:dyDescent="0.3">
      <c r="A43" t="s">
        <v>96</v>
      </c>
      <c r="B43" t="s">
        <v>517</v>
      </c>
      <c r="C43">
        <v>45.754394202086303</v>
      </c>
      <c r="D43">
        <v>590</v>
      </c>
    </row>
    <row r="44" spans="1:4" x14ac:dyDescent="0.3">
      <c r="A44" t="s">
        <v>96</v>
      </c>
      <c r="B44" t="s">
        <v>518</v>
      </c>
      <c r="C44">
        <v>71.184738067510693</v>
      </c>
      <c r="D44">
        <v>444</v>
      </c>
    </row>
    <row r="45" spans="1:4" x14ac:dyDescent="0.3">
      <c r="A45" t="s">
        <v>96</v>
      </c>
      <c r="B45" t="s">
        <v>510</v>
      </c>
      <c r="C45">
        <v>53.701333135917402</v>
      </c>
      <c r="D45">
        <v>920</v>
      </c>
    </row>
    <row r="46" spans="1:4" x14ac:dyDescent="0.3">
      <c r="A46" t="s">
        <v>96</v>
      </c>
      <c r="B46" t="s">
        <v>519</v>
      </c>
      <c r="C46">
        <v>56.987303724214598</v>
      </c>
      <c r="D46">
        <v>411</v>
      </c>
    </row>
    <row r="47" spans="1:4" x14ac:dyDescent="0.3">
      <c r="A47" t="s">
        <v>96</v>
      </c>
      <c r="B47" t="s">
        <v>520</v>
      </c>
      <c r="C47">
        <v>37.658836041894801</v>
      </c>
      <c r="D47">
        <v>468</v>
      </c>
    </row>
    <row r="48" spans="1:4" x14ac:dyDescent="0.3">
      <c r="A48" t="s">
        <v>96</v>
      </c>
      <c r="B48" t="s">
        <v>521</v>
      </c>
      <c r="C48">
        <v>43.101509762305703</v>
      </c>
      <c r="D48">
        <v>832</v>
      </c>
    </row>
    <row r="49" spans="1:4" x14ac:dyDescent="0.3">
      <c r="A49" t="s">
        <v>96</v>
      </c>
      <c r="B49" t="s">
        <v>522</v>
      </c>
      <c r="C49">
        <v>54.225235787806398</v>
      </c>
      <c r="D49">
        <v>1095</v>
      </c>
    </row>
    <row r="50" spans="1:4" x14ac:dyDescent="0.3">
      <c r="A50" t="s">
        <v>96</v>
      </c>
      <c r="B50" t="s">
        <v>523</v>
      </c>
      <c r="C50">
        <v>55.855744430016898</v>
      </c>
      <c r="D50">
        <v>17</v>
      </c>
    </row>
    <row r="51" spans="1:4" x14ac:dyDescent="0.3">
      <c r="A51" t="s">
        <v>96</v>
      </c>
      <c r="B51" t="s">
        <v>524</v>
      </c>
      <c r="C51">
        <v>49.241048177148102</v>
      </c>
      <c r="D51">
        <v>399</v>
      </c>
    </row>
    <row r="52" spans="1:4" x14ac:dyDescent="0.3">
      <c r="A52" t="s">
        <v>96</v>
      </c>
      <c r="B52" t="s">
        <v>525</v>
      </c>
      <c r="C52">
        <v>51.1351303542246</v>
      </c>
      <c r="D52">
        <v>925</v>
      </c>
    </row>
    <row r="53" spans="1:4" x14ac:dyDescent="0.3">
      <c r="A53" t="s">
        <v>96</v>
      </c>
      <c r="B53" t="s">
        <v>526</v>
      </c>
      <c r="C53">
        <v>60.637535532534201</v>
      </c>
      <c r="D53">
        <v>925</v>
      </c>
    </row>
    <row r="54" spans="1:4" x14ac:dyDescent="0.3">
      <c r="A54" t="s">
        <v>96</v>
      </c>
      <c r="B54" t="s">
        <v>527</v>
      </c>
      <c r="C54">
        <v>80.654467056390601</v>
      </c>
      <c r="D54">
        <v>396</v>
      </c>
    </row>
    <row r="55" spans="1:4" x14ac:dyDescent="0.3">
      <c r="A55" t="s">
        <v>96</v>
      </c>
      <c r="B55" t="s">
        <v>528</v>
      </c>
      <c r="C55">
        <v>55.135764595926503</v>
      </c>
      <c r="D55">
        <v>126</v>
      </c>
    </row>
    <row r="56" spans="1:4" x14ac:dyDescent="0.3">
      <c r="A56" t="s">
        <v>143</v>
      </c>
      <c r="B56" t="s">
        <v>517</v>
      </c>
      <c r="C56">
        <v>38.9408789570046</v>
      </c>
      <c r="D56">
        <v>200</v>
      </c>
    </row>
    <row r="57" spans="1:4" x14ac:dyDescent="0.3">
      <c r="A57" t="s">
        <v>143</v>
      </c>
      <c r="B57" t="s">
        <v>518</v>
      </c>
      <c r="C57">
        <v>70.057030374454996</v>
      </c>
      <c r="D57">
        <v>207</v>
      </c>
    </row>
    <row r="58" spans="1:4" x14ac:dyDescent="0.3">
      <c r="A58" t="s">
        <v>143</v>
      </c>
      <c r="B58" t="s">
        <v>510</v>
      </c>
      <c r="C58">
        <v>52.6122557388966</v>
      </c>
      <c r="D58">
        <v>355</v>
      </c>
    </row>
    <row r="59" spans="1:4" x14ac:dyDescent="0.3">
      <c r="A59" t="s">
        <v>143</v>
      </c>
      <c r="B59" t="s">
        <v>519</v>
      </c>
      <c r="C59">
        <v>65.033722915759</v>
      </c>
      <c r="D59">
        <v>198</v>
      </c>
    </row>
    <row r="60" spans="1:4" x14ac:dyDescent="0.3">
      <c r="A60" t="s">
        <v>143</v>
      </c>
      <c r="B60" t="s">
        <v>520</v>
      </c>
      <c r="C60">
        <v>36.430440565737001</v>
      </c>
      <c r="D60">
        <v>195</v>
      </c>
    </row>
    <row r="61" spans="1:4" x14ac:dyDescent="0.3">
      <c r="A61" t="s">
        <v>143</v>
      </c>
      <c r="B61" t="s">
        <v>521</v>
      </c>
      <c r="C61">
        <v>35.735898379346096</v>
      </c>
      <c r="D61">
        <v>524</v>
      </c>
    </row>
    <row r="62" spans="1:4" x14ac:dyDescent="0.3">
      <c r="A62" t="s">
        <v>143</v>
      </c>
      <c r="B62" t="s">
        <v>522</v>
      </c>
      <c r="C62">
        <v>46.644270716914903</v>
      </c>
      <c r="D62">
        <v>655</v>
      </c>
    </row>
    <row r="63" spans="1:4" x14ac:dyDescent="0.3">
      <c r="A63" t="s">
        <v>143</v>
      </c>
      <c r="B63" t="s">
        <v>523</v>
      </c>
      <c r="C63">
        <v>44.300781408270602</v>
      </c>
      <c r="D63">
        <v>16</v>
      </c>
    </row>
    <row r="64" spans="1:4" x14ac:dyDescent="0.3">
      <c r="A64" t="s">
        <v>143</v>
      </c>
      <c r="B64" t="s">
        <v>524</v>
      </c>
      <c r="C64">
        <v>48.350288591756502</v>
      </c>
      <c r="D64">
        <v>192</v>
      </c>
    </row>
    <row r="65" spans="1:4" x14ac:dyDescent="0.3">
      <c r="A65" t="s">
        <v>143</v>
      </c>
      <c r="B65" t="s">
        <v>525</v>
      </c>
      <c r="C65">
        <v>49.751047873951201</v>
      </c>
      <c r="D65">
        <v>355</v>
      </c>
    </row>
    <row r="66" spans="1:4" x14ac:dyDescent="0.3">
      <c r="A66" t="s">
        <v>143</v>
      </c>
      <c r="B66" t="s">
        <v>526</v>
      </c>
      <c r="C66">
        <v>57.984895306193202</v>
      </c>
      <c r="D66">
        <v>355</v>
      </c>
    </row>
    <row r="67" spans="1:4" x14ac:dyDescent="0.3">
      <c r="A67" t="s">
        <v>143</v>
      </c>
      <c r="B67" t="s">
        <v>527</v>
      </c>
      <c r="C67">
        <v>83.678824463860593</v>
      </c>
      <c r="D67">
        <v>192</v>
      </c>
    </row>
    <row r="68" spans="1:4" x14ac:dyDescent="0.3">
      <c r="A68" t="s">
        <v>143</v>
      </c>
      <c r="B68" t="s">
        <v>528</v>
      </c>
      <c r="C68">
        <v>67.467260273972599</v>
      </c>
      <c r="D68">
        <v>26</v>
      </c>
    </row>
    <row r="69" spans="1:4" x14ac:dyDescent="0.3">
      <c r="A69" t="s">
        <v>163</v>
      </c>
      <c r="B69" t="s">
        <v>517</v>
      </c>
      <c r="C69">
        <v>42.328426016957202</v>
      </c>
      <c r="D69">
        <v>350</v>
      </c>
    </row>
    <row r="70" spans="1:4" x14ac:dyDescent="0.3">
      <c r="A70" t="s">
        <v>163</v>
      </c>
      <c r="B70" t="s">
        <v>518</v>
      </c>
      <c r="C70">
        <v>61.043720896928598</v>
      </c>
      <c r="D70">
        <v>330</v>
      </c>
    </row>
    <row r="71" spans="1:4" x14ac:dyDescent="0.3">
      <c r="A71" t="s">
        <v>163</v>
      </c>
      <c r="B71" t="s">
        <v>510</v>
      </c>
      <c r="C71">
        <v>55.019436804129903</v>
      </c>
      <c r="D71">
        <v>605</v>
      </c>
    </row>
    <row r="72" spans="1:4" x14ac:dyDescent="0.3">
      <c r="A72" t="s">
        <v>163</v>
      </c>
      <c r="B72" t="s">
        <v>519</v>
      </c>
      <c r="C72">
        <v>51.785195029806303</v>
      </c>
      <c r="D72">
        <v>312</v>
      </c>
    </row>
    <row r="73" spans="1:4" x14ac:dyDescent="0.3">
      <c r="A73" t="s">
        <v>163</v>
      </c>
      <c r="B73" t="s">
        <v>520</v>
      </c>
      <c r="C73">
        <v>33.630302898423999</v>
      </c>
      <c r="D73">
        <v>318</v>
      </c>
    </row>
    <row r="74" spans="1:4" x14ac:dyDescent="0.3">
      <c r="A74" t="s">
        <v>163</v>
      </c>
      <c r="B74" t="s">
        <v>521</v>
      </c>
      <c r="C74">
        <v>38.111316710960601</v>
      </c>
      <c r="D74">
        <v>748</v>
      </c>
    </row>
    <row r="75" spans="1:4" x14ac:dyDescent="0.3">
      <c r="A75" t="s">
        <v>163</v>
      </c>
      <c r="B75" t="s">
        <v>522</v>
      </c>
      <c r="C75">
        <v>51.1563808307668</v>
      </c>
      <c r="D75">
        <v>960</v>
      </c>
    </row>
    <row r="76" spans="1:4" x14ac:dyDescent="0.3">
      <c r="A76" t="s">
        <v>163</v>
      </c>
      <c r="B76" t="s">
        <v>523</v>
      </c>
      <c r="C76">
        <v>23.9110197355899</v>
      </c>
      <c r="D76">
        <v>32</v>
      </c>
    </row>
    <row r="77" spans="1:4" x14ac:dyDescent="0.3">
      <c r="A77" t="s">
        <v>163</v>
      </c>
      <c r="B77" t="s">
        <v>524</v>
      </c>
      <c r="C77">
        <v>51.731895651234403</v>
      </c>
      <c r="D77">
        <v>315</v>
      </c>
    </row>
    <row r="78" spans="1:4" x14ac:dyDescent="0.3">
      <c r="A78" t="s">
        <v>163</v>
      </c>
      <c r="B78" t="s">
        <v>525</v>
      </c>
      <c r="C78">
        <v>49.281192589934903</v>
      </c>
      <c r="D78">
        <v>605</v>
      </c>
    </row>
    <row r="79" spans="1:4" x14ac:dyDescent="0.3">
      <c r="A79" t="s">
        <v>163</v>
      </c>
      <c r="B79" t="s">
        <v>526</v>
      </c>
      <c r="C79">
        <v>60.861083064304097</v>
      </c>
      <c r="D79">
        <v>610</v>
      </c>
    </row>
    <row r="80" spans="1:4" x14ac:dyDescent="0.3">
      <c r="A80" t="s">
        <v>163</v>
      </c>
      <c r="B80" t="s">
        <v>527</v>
      </c>
      <c r="C80">
        <v>78.012845287857104</v>
      </c>
      <c r="D80">
        <v>315</v>
      </c>
    </row>
    <row r="81" spans="1:4" x14ac:dyDescent="0.3">
      <c r="A81" t="s">
        <v>163</v>
      </c>
      <c r="B81" t="s">
        <v>528</v>
      </c>
      <c r="C81">
        <v>57.1861325060637</v>
      </c>
      <c r="D81">
        <v>58</v>
      </c>
    </row>
    <row r="82" spans="1:4" x14ac:dyDescent="0.3">
      <c r="A82" t="s">
        <v>191</v>
      </c>
      <c r="B82" t="s">
        <v>517</v>
      </c>
      <c r="C82">
        <v>43.466271724748701</v>
      </c>
      <c r="D82">
        <v>7105</v>
      </c>
    </row>
    <row r="83" spans="1:4" x14ac:dyDescent="0.3">
      <c r="A83" t="s">
        <v>191</v>
      </c>
      <c r="B83" t="s">
        <v>518</v>
      </c>
      <c r="C83">
        <v>66.711032811852107</v>
      </c>
      <c r="D83">
        <v>4899</v>
      </c>
    </row>
    <row r="84" spans="1:4" x14ac:dyDescent="0.3">
      <c r="A84" t="s">
        <v>191</v>
      </c>
      <c r="B84" t="s">
        <v>510</v>
      </c>
      <c r="C84">
        <v>57.326881783318299</v>
      </c>
      <c r="D84">
        <v>10745</v>
      </c>
    </row>
    <row r="85" spans="1:4" x14ac:dyDescent="0.3">
      <c r="A85" t="s">
        <v>191</v>
      </c>
      <c r="B85" t="s">
        <v>519</v>
      </c>
      <c r="C85">
        <v>53.652763584566699</v>
      </c>
      <c r="D85">
        <v>4461</v>
      </c>
    </row>
    <row r="86" spans="1:4" x14ac:dyDescent="0.3">
      <c r="A86" t="s">
        <v>191</v>
      </c>
      <c r="B86" t="s">
        <v>520</v>
      </c>
      <c r="C86">
        <v>32.1759976944467</v>
      </c>
      <c r="D86">
        <v>4818</v>
      </c>
    </row>
    <row r="87" spans="1:4" x14ac:dyDescent="0.3">
      <c r="A87" t="s">
        <v>191</v>
      </c>
      <c r="B87" t="s">
        <v>521</v>
      </c>
      <c r="C87">
        <v>43.384586076587397</v>
      </c>
      <c r="D87">
        <v>7504</v>
      </c>
    </row>
    <row r="88" spans="1:4" x14ac:dyDescent="0.3">
      <c r="A88" t="s">
        <v>191</v>
      </c>
      <c r="B88" t="s">
        <v>522</v>
      </c>
      <c r="C88">
        <v>47.6011199004273</v>
      </c>
      <c r="D88">
        <v>11190</v>
      </c>
    </row>
    <row r="89" spans="1:4" x14ac:dyDescent="0.3">
      <c r="A89" t="s">
        <v>191</v>
      </c>
      <c r="B89" t="s">
        <v>523</v>
      </c>
      <c r="C89">
        <v>45.857690190700701</v>
      </c>
      <c r="D89">
        <v>478</v>
      </c>
    </row>
    <row r="90" spans="1:4" x14ac:dyDescent="0.3">
      <c r="A90" t="s">
        <v>191</v>
      </c>
      <c r="B90" t="s">
        <v>524</v>
      </c>
      <c r="C90">
        <v>50.996130380926203</v>
      </c>
      <c r="D90">
        <v>4572</v>
      </c>
    </row>
    <row r="91" spans="1:4" x14ac:dyDescent="0.3">
      <c r="A91" t="s">
        <v>191</v>
      </c>
      <c r="B91" t="s">
        <v>525</v>
      </c>
      <c r="C91">
        <v>46.354303783372302</v>
      </c>
      <c r="D91">
        <v>10755</v>
      </c>
    </row>
    <row r="92" spans="1:4" x14ac:dyDescent="0.3">
      <c r="A92" t="s">
        <v>191</v>
      </c>
      <c r="B92" t="s">
        <v>526</v>
      </c>
      <c r="C92">
        <v>59.714905194425199</v>
      </c>
      <c r="D92">
        <v>10810</v>
      </c>
    </row>
    <row r="93" spans="1:4" x14ac:dyDescent="0.3">
      <c r="A93" t="s">
        <v>191</v>
      </c>
      <c r="B93" t="s">
        <v>527</v>
      </c>
      <c r="C93">
        <v>78.635559108774302</v>
      </c>
      <c r="D93">
        <v>4755</v>
      </c>
    </row>
    <row r="94" spans="1:4" x14ac:dyDescent="0.3">
      <c r="A94" t="s">
        <v>191</v>
      </c>
      <c r="B94" t="s">
        <v>528</v>
      </c>
      <c r="C94">
        <v>55.304076490640703</v>
      </c>
      <c r="D94">
        <v>1630</v>
      </c>
    </row>
    <row r="95" spans="1:4" x14ac:dyDescent="0.3">
      <c r="A95" t="s">
        <v>253</v>
      </c>
      <c r="B95" t="s">
        <v>517</v>
      </c>
      <c r="C95">
        <v>56.857993241955697</v>
      </c>
      <c r="D95">
        <v>325</v>
      </c>
    </row>
    <row r="96" spans="1:4" x14ac:dyDescent="0.3">
      <c r="A96" t="s">
        <v>253</v>
      </c>
      <c r="B96" t="s">
        <v>518</v>
      </c>
      <c r="C96">
        <v>68.738460654889295</v>
      </c>
      <c r="D96">
        <v>420</v>
      </c>
    </row>
    <row r="97" spans="1:4" x14ac:dyDescent="0.3">
      <c r="A97" t="s">
        <v>253</v>
      </c>
      <c r="B97" t="s">
        <v>510</v>
      </c>
      <c r="C97">
        <v>53.404921575059703</v>
      </c>
      <c r="D97">
        <v>765</v>
      </c>
    </row>
    <row r="98" spans="1:4" x14ac:dyDescent="0.3">
      <c r="A98" t="s">
        <v>253</v>
      </c>
      <c r="B98" t="s">
        <v>519</v>
      </c>
      <c r="C98">
        <v>57.589612189216098</v>
      </c>
      <c r="D98">
        <v>375</v>
      </c>
    </row>
    <row r="99" spans="1:4" x14ac:dyDescent="0.3">
      <c r="A99" t="s">
        <v>253</v>
      </c>
      <c r="B99" t="s">
        <v>520</v>
      </c>
      <c r="C99">
        <v>34.737484915038898</v>
      </c>
      <c r="D99">
        <v>390</v>
      </c>
    </row>
    <row r="100" spans="1:4" x14ac:dyDescent="0.3">
      <c r="A100" t="s">
        <v>253</v>
      </c>
      <c r="B100" t="s">
        <v>521</v>
      </c>
      <c r="C100">
        <v>38.4177673141144</v>
      </c>
      <c r="D100">
        <v>1156</v>
      </c>
    </row>
    <row r="101" spans="1:4" x14ac:dyDescent="0.3">
      <c r="A101" t="s">
        <v>253</v>
      </c>
      <c r="B101" t="s">
        <v>522</v>
      </c>
      <c r="C101">
        <v>44.900865274460202</v>
      </c>
      <c r="D101">
        <v>1530</v>
      </c>
    </row>
    <row r="102" spans="1:4" x14ac:dyDescent="0.3">
      <c r="A102" t="s">
        <v>253</v>
      </c>
      <c r="B102" t="s">
        <v>523</v>
      </c>
      <c r="C102">
        <v>38.557905710710898</v>
      </c>
      <c r="D102">
        <v>22</v>
      </c>
    </row>
    <row r="103" spans="1:4" x14ac:dyDescent="0.3">
      <c r="A103" t="s">
        <v>253</v>
      </c>
      <c r="B103" t="s">
        <v>524</v>
      </c>
      <c r="C103">
        <v>45.708521393594602</v>
      </c>
      <c r="D103">
        <v>381</v>
      </c>
    </row>
    <row r="104" spans="1:4" x14ac:dyDescent="0.3">
      <c r="A104" t="s">
        <v>253</v>
      </c>
      <c r="B104" t="s">
        <v>525</v>
      </c>
      <c r="C104">
        <v>52.833180305912599</v>
      </c>
      <c r="D104">
        <v>770</v>
      </c>
    </row>
    <row r="105" spans="1:4" x14ac:dyDescent="0.3">
      <c r="A105" t="s">
        <v>253</v>
      </c>
      <c r="B105" t="s">
        <v>526</v>
      </c>
      <c r="C105">
        <v>61.990040685703804</v>
      </c>
      <c r="D105">
        <v>765</v>
      </c>
    </row>
    <row r="106" spans="1:4" x14ac:dyDescent="0.3">
      <c r="A106" t="s">
        <v>253</v>
      </c>
      <c r="B106" t="s">
        <v>527</v>
      </c>
      <c r="C106">
        <v>86.268103073859095</v>
      </c>
      <c r="D106">
        <v>375</v>
      </c>
    </row>
    <row r="107" spans="1:4" x14ac:dyDescent="0.3">
      <c r="A107" t="s">
        <v>253</v>
      </c>
      <c r="B107" t="s">
        <v>528</v>
      </c>
      <c r="C107">
        <v>59.295677965594301</v>
      </c>
      <c r="D107">
        <v>120</v>
      </c>
    </row>
    <row r="108" spans="1:4" x14ac:dyDescent="0.3">
      <c r="A108" t="s">
        <v>333</v>
      </c>
      <c r="B108" t="s">
        <v>517</v>
      </c>
      <c r="C108">
        <v>56.042456384092503</v>
      </c>
      <c r="D108">
        <v>200</v>
      </c>
    </row>
    <row r="109" spans="1:4" x14ac:dyDescent="0.3">
      <c r="A109" t="s">
        <v>333</v>
      </c>
      <c r="B109" t="s">
        <v>518</v>
      </c>
      <c r="C109">
        <v>65.336499507476404</v>
      </c>
      <c r="D109">
        <v>171</v>
      </c>
    </row>
    <row r="110" spans="1:4" x14ac:dyDescent="0.3">
      <c r="A110" t="s">
        <v>333</v>
      </c>
      <c r="B110" t="s">
        <v>510</v>
      </c>
      <c r="C110">
        <v>53.183321861665497</v>
      </c>
      <c r="D110">
        <v>300</v>
      </c>
    </row>
    <row r="111" spans="1:4" x14ac:dyDescent="0.3">
      <c r="A111" t="s">
        <v>333</v>
      </c>
      <c r="B111" t="s">
        <v>519</v>
      </c>
      <c r="C111">
        <v>64.457040261692001</v>
      </c>
      <c r="D111">
        <v>147</v>
      </c>
    </row>
    <row r="112" spans="1:4" x14ac:dyDescent="0.3">
      <c r="A112" t="s">
        <v>333</v>
      </c>
      <c r="B112" t="s">
        <v>520</v>
      </c>
      <c r="C112">
        <v>35.212465185146499</v>
      </c>
      <c r="D112">
        <v>159</v>
      </c>
    </row>
    <row r="113" spans="1:4" x14ac:dyDescent="0.3">
      <c r="A113" t="s">
        <v>333</v>
      </c>
      <c r="B113" t="s">
        <v>521</v>
      </c>
      <c r="C113">
        <v>40.305966477996598</v>
      </c>
      <c r="D113">
        <v>440</v>
      </c>
    </row>
    <row r="114" spans="1:4" x14ac:dyDescent="0.3">
      <c r="A114" t="s">
        <v>333</v>
      </c>
      <c r="B114" t="s">
        <v>522</v>
      </c>
      <c r="C114">
        <v>48.340017743508497</v>
      </c>
      <c r="D114">
        <v>565</v>
      </c>
    </row>
    <row r="115" spans="1:4" x14ac:dyDescent="0.3">
      <c r="A115" t="s">
        <v>333</v>
      </c>
      <c r="B115" t="s">
        <v>523</v>
      </c>
      <c r="C115">
        <v>34.167808219178099</v>
      </c>
      <c r="D115">
        <v>4</v>
      </c>
    </row>
    <row r="116" spans="1:4" x14ac:dyDescent="0.3">
      <c r="A116" t="s">
        <v>333</v>
      </c>
      <c r="B116" t="s">
        <v>524</v>
      </c>
      <c r="C116">
        <v>39.482199972128001</v>
      </c>
      <c r="D116">
        <v>153</v>
      </c>
    </row>
    <row r="117" spans="1:4" x14ac:dyDescent="0.3">
      <c r="A117" t="s">
        <v>333</v>
      </c>
      <c r="B117" t="s">
        <v>525</v>
      </c>
      <c r="C117">
        <v>48.401398822631101</v>
      </c>
      <c r="D117">
        <v>300</v>
      </c>
    </row>
    <row r="118" spans="1:4" x14ac:dyDescent="0.3">
      <c r="A118" t="s">
        <v>333</v>
      </c>
      <c r="B118" t="s">
        <v>526</v>
      </c>
      <c r="C118">
        <v>54.857734034872301</v>
      </c>
      <c r="D118">
        <v>300</v>
      </c>
    </row>
    <row r="119" spans="1:4" x14ac:dyDescent="0.3">
      <c r="A119" t="s">
        <v>333</v>
      </c>
      <c r="B119" t="s">
        <v>527</v>
      </c>
      <c r="C119">
        <v>87.418371681557602</v>
      </c>
      <c r="D119">
        <v>162</v>
      </c>
    </row>
    <row r="120" spans="1:4" x14ac:dyDescent="0.3">
      <c r="A120" t="s">
        <v>333</v>
      </c>
      <c r="B120" t="s">
        <v>528</v>
      </c>
      <c r="C120">
        <v>62.184325823616</v>
      </c>
      <c r="D120">
        <v>22</v>
      </c>
    </row>
    <row r="121" spans="1:4" x14ac:dyDescent="0.3">
      <c r="A121" t="s">
        <v>371</v>
      </c>
      <c r="B121" t="s">
        <v>517</v>
      </c>
      <c r="C121">
        <v>37.202252778856902</v>
      </c>
      <c r="D121">
        <v>830</v>
      </c>
    </row>
    <row r="122" spans="1:4" x14ac:dyDescent="0.3">
      <c r="A122" t="s">
        <v>371</v>
      </c>
      <c r="B122" t="s">
        <v>518</v>
      </c>
      <c r="C122">
        <v>66.070177130148707</v>
      </c>
      <c r="D122">
        <v>573</v>
      </c>
    </row>
    <row r="123" spans="1:4" x14ac:dyDescent="0.3">
      <c r="A123" t="s">
        <v>371</v>
      </c>
      <c r="B123" t="s">
        <v>510</v>
      </c>
      <c r="C123">
        <v>45.595635374632003</v>
      </c>
      <c r="D123">
        <v>975</v>
      </c>
    </row>
    <row r="124" spans="1:4" x14ac:dyDescent="0.3">
      <c r="A124" t="s">
        <v>371</v>
      </c>
      <c r="B124" t="s">
        <v>519</v>
      </c>
      <c r="C124">
        <v>41.434926065303202</v>
      </c>
      <c r="D124">
        <v>516</v>
      </c>
    </row>
    <row r="125" spans="1:4" x14ac:dyDescent="0.3">
      <c r="A125" t="s">
        <v>371</v>
      </c>
      <c r="B125" t="s">
        <v>520</v>
      </c>
      <c r="C125">
        <v>45.288270970867202</v>
      </c>
      <c r="D125">
        <v>552</v>
      </c>
    </row>
    <row r="126" spans="1:4" x14ac:dyDescent="0.3">
      <c r="A126" t="s">
        <v>371</v>
      </c>
      <c r="B126" t="s">
        <v>521</v>
      </c>
      <c r="C126">
        <v>40.877592695778702</v>
      </c>
      <c r="D126">
        <v>820</v>
      </c>
    </row>
    <row r="127" spans="1:4" x14ac:dyDescent="0.3">
      <c r="A127" t="s">
        <v>371</v>
      </c>
      <c r="B127" t="s">
        <v>522</v>
      </c>
      <c r="C127">
        <v>53.715552900404397</v>
      </c>
      <c r="D127">
        <v>1050</v>
      </c>
    </row>
    <row r="128" spans="1:4" x14ac:dyDescent="0.3">
      <c r="A128" t="s">
        <v>371</v>
      </c>
      <c r="B128" t="s">
        <v>523</v>
      </c>
      <c r="C128">
        <v>51.573505692886599</v>
      </c>
      <c r="D128">
        <v>13</v>
      </c>
    </row>
    <row r="129" spans="1:4" x14ac:dyDescent="0.3">
      <c r="A129" t="s">
        <v>371</v>
      </c>
      <c r="B129" t="s">
        <v>524</v>
      </c>
      <c r="C129">
        <v>49.622762230433402</v>
      </c>
      <c r="D129">
        <v>516</v>
      </c>
    </row>
    <row r="130" spans="1:4" x14ac:dyDescent="0.3">
      <c r="A130" t="s">
        <v>371</v>
      </c>
      <c r="B130" t="s">
        <v>525</v>
      </c>
      <c r="C130">
        <v>54.853125986850202</v>
      </c>
      <c r="D130">
        <v>975</v>
      </c>
    </row>
    <row r="131" spans="1:4" x14ac:dyDescent="0.3">
      <c r="A131" t="s">
        <v>371</v>
      </c>
      <c r="B131" t="s">
        <v>526</v>
      </c>
      <c r="C131">
        <v>55.0259532581182</v>
      </c>
      <c r="D131">
        <v>980</v>
      </c>
    </row>
    <row r="132" spans="1:4" x14ac:dyDescent="0.3">
      <c r="A132" t="s">
        <v>371</v>
      </c>
      <c r="B132" t="s">
        <v>527</v>
      </c>
      <c r="C132">
        <v>87.685120282945505</v>
      </c>
      <c r="D132">
        <v>543</v>
      </c>
    </row>
    <row r="133" spans="1:4" x14ac:dyDescent="0.3">
      <c r="A133" t="s">
        <v>371</v>
      </c>
      <c r="B133" t="s">
        <v>528</v>
      </c>
      <c r="C133">
        <v>75.550156712903998</v>
      </c>
      <c r="D133">
        <v>28</v>
      </c>
    </row>
    <row r="134" spans="1:4" x14ac:dyDescent="0.3">
      <c r="A134" t="s">
        <v>402</v>
      </c>
      <c r="B134" t="s">
        <v>517</v>
      </c>
      <c r="C134">
        <v>49.362621388214997</v>
      </c>
      <c r="D134">
        <v>175</v>
      </c>
    </row>
    <row r="135" spans="1:4" x14ac:dyDescent="0.3">
      <c r="A135" t="s">
        <v>402</v>
      </c>
      <c r="B135" t="s">
        <v>518</v>
      </c>
      <c r="C135">
        <v>71.358198340472995</v>
      </c>
      <c r="D135">
        <v>141</v>
      </c>
    </row>
    <row r="136" spans="1:4" x14ac:dyDescent="0.3">
      <c r="A136" t="s">
        <v>402</v>
      </c>
      <c r="B136" t="s">
        <v>510</v>
      </c>
      <c r="C136">
        <v>56.086290475249001</v>
      </c>
      <c r="D136">
        <v>270</v>
      </c>
    </row>
    <row r="137" spans="1:4" x14ac:dyDescent="0.3">
      <c r="A137" t="s">
        <v>402</v>
      </c>
      <c r="B137" t="s">
        <v>519</v>
      </c>
      <c r="C137">
        <v>52.379372389788401</v>
      </c>
      <c r="D137">
        <v>132</v>
      </c>
    </row>
    <row r="138" spans="1:4" x14ac:dyDescent="0.3">
      <c r="A138" t="s">
        <v>402</v>
      </c>
      <c r="B138" t="s">
        <v>520</v>
      </c>
      <c r="C138">
        <v>32.309971435168798</v>
      </c>
      <c r="D138">
        <v>144</v>
      </c>
    </row>
    <row r="139" spans="1:4" x14ac:dyDescent="0.3">
      <c r="A139" t="s">
        <v>402</v>
      </c>
      <c r="B139" t="s">
        <v>521</v>
      </c>
      <c r="C139">
        <v>38.650156761510601</v>
      </c>
      <c r="D139">
        <v>392</v>
      </c>
    </row>
    <row r="140" spans="1:4" x14ac:dyDescent="0.3">
      <c r="A140" t="s">
        <v>402</v>
      </c>
      <c r="B140" t="s">
        <v>522</v>
      </c>
      <c r="C140">
        <v>53.5680054443377</v>
      </c>
      <c r="D140">
        <v>505</v>
      </c>
    </row>
    <row r="141" spans="1:4" x14ac:dyDescent="0.3">
      <c r="A141" t="s">
        <v>402</v>
      </c>
      <c r="B141" t="s">
        <v>523</v>
      </c>
      <c r="C141">
        <v>52.500265675663499</v>
      </c>
      <c r="D141">
        <v>11</v>
      </c>
    </row>
    <row r="142" spans="1:4" x14ac:dyDescent="0.3">
      <c r="A142" t="s">
        <v>402</v>
      </c>
      <c r="B142" t="s">
        <v>524</v>
      </c>
      <c r="C142">
        <v>51.4226483777068</v>
      </c>
      <c r="D142">
        <v>141</v>
      </c>
    </row>
    <row r="143" spans="1:4" x14ac:dyDescent="0.3">
      <c r="A143" t="s">
        <v>402</v>
      </c>
      <c r="B143" t="s">
        <v>525</v>
      </c>
      <c r="C143">
        <v>50.730495365464499</v>
      </c>
      <c r="D143">
        <v>270</v>
      </c>
    </row>
    <row r="144" spans="1:4" x14ac:dyDescent="0.3">
      <c r="A144" t="s">
        <v>402</v>
      </c>
      <c r="B144" t="s">
        <v>526</v>
      </c>
      <c r="C144">
        <v>61.037819309723602</v>
      </c>
      <c r="D144">
        <v>270</v>
      </c>
    </row>
    <row r="145" spans="1:4" x14ac:dyDescent="0.3">
      <c r="A145" t="s">
        <v>402</v>
      </c>
      <c r="B145" t="s">
        <v>527</v>
      </c>
      <c r="C145">
        <v>79.530469753445104</v>
      </c>
      <c r="D145">
        <v>138</v>
      </c>
    </row>
    <row r="146" spans="1:4" x14ac:dyDescent="0.3">
      <c r="A146" t="s">
        <v>402</v>
      </c>
      <c r="B146" t="s">
        <v>528</v>
      </c>
      <c r="C146">
        <v>53.215858971269299</v>
      </c>
      <c r="D146">
        <v>34</v>
      </c>
    </row>
    <row r="147" spans="1:4" x14ac:dyDescent="0.3">
      <c r="A147" t="s">
        <v>420</v>
      </c>
      <c r="B147" t="s">
        <v>517</v>
      </c>
      <c r="C147">
        <v>52.909444525207498</v>
      </c>
      <c r="D147">
        <v>990</v>
      </c>
    </row>
    <row r="148" spans="1:4" x14ac:dyDescent="0.3">
      <c r="A148" t="s">
        <v>420</v>
      </c>
      <c r="B148" t="s">
        <v>518</v>
      </c>
      <c r="C148">
        <v>67.9869163465019</v>
      </c>
      <c r="D148">
        <v>930</v>
      </c>
    </row>
    <row r="149" spans="1:4" x14ac:dyDescent="0.3">
      <c r="A149" t="s">
        <v>420</v>
      </c>
      <c r="B149" t="s">
        <v>510</v>
      </c>
      <c r="C149">
        <v>56.084077908785503</v>
      </c>
      <c r="D149">
        <v>1665</v>
      </c>
    </row>
    <row r="150" spans="1:4" x14ac:dyDescent="0.3">
      <c r="A150" t="s">
        <v>420</v>
      </c>
      <c r="B150" t="s">
        <v>519</v>
      </c>
      <c r="C150">
        <v>57.765195138154702</v>
      </c>
      <c r="D150">
        <v>876</v>
      </c>
    </row>
    <row r="151" spans="1:4" x14ac:dyDescent="0.3">
      <c r="A151" t="s">
        <v>420</v>
      </c>
      <c r="B151" t="s">
        <v>520</v>
      </c>
      <c r="C151">
        <v>33.385990565389399</v>
      </c>
      <c r="D151">
        <v>915</v>
      </c>
    </row>
    <row r="152" spans="1:4" x14ac:dyDescent="0.3">
      <c r="A152" t="s">
        <v>420</v>
      </c>
      <c r="B152" t="s">
        <v>521</v>
      </c>
      <c r="C152">
        <v>38.447821604168901</v>
      </c>
      <c r="D152">
        <v>1716</v>
      </c>
    </row>
    <row r="153" spans="1:4" x14ac:dyDescent="0.3">
      <c r="A153" t="s">
        <v>420</v>
      </c>
      <c r="B153" t="s">
        <v>522</v>
      </c>
      <c r="C153">
        <v>50.046469590881301</v>
      </c>
      <c r="D153">
        <v>2205</v>
      </c>
    </row>
    <row r="154" spans="1:4" x14ac:dyDescent="0.3">
      <c r="A154" t="s">
        <v>420</v>
      </c>
      <c r="B154" t="s">
        <v>523</v>
      </c>
      <c r="C154">
        <v>44.502390416945097</v>
      </c>
      <c r="D154">
        <v>86</v>
      </c>
    </row>
    <row r="155" spans="1:4" x14ac:dyDescent="0.3">
      <c r="A155" t="s">
        <v>420</v>
      </c>
      <c r="B155" t="s">
        <v>524</v>
      </c>
      <c r="C155">
        <v>53.088177215239199</v>
      </c>
      <c r="D155">
        <v>867</v>
      </c>
    </row>
    <row r="156" spans="1:4" x14ac:dyDescent="0.3">
      <c r="A156" t="s">
        <v>420</v>
      </c>
      <c r="B156" t="s">
        <v>525</v>
      </c>
      <c r="C156">
        <v>49.275810712721501</v>
      </c>
      <c r="D156">
        <v>1670</v>
      </c>
    </row>
    <row r="157" spans="1:4" x14ac:dyDescent="0.3">
      <c r="A157" t="s">
        <v>420</v>
      </c>
      <c r="B157" t="s">
        <v>526</v>
      </c>
      <c r="C157">
        <v>62.118327659585702</v>
      </c>
      <c r="D157">
        <v>1665</v>
      </c>
    </row>
    <row r="158" spans="1:4" x14ac:dyDescent="0.3">
      <c r="A158" t="s">
        <v>420</v>
      </c>
      <c r="B158" t="s">
        <v>527</v>
      </c>
      <c r="C158">
        <v>82.454129926923997</v>
      </c>
      <c r="D158">
        <v>870</v>
      </c>
    </row>
    <row r="159" spans="1:4" x14ac:dyDescent="0.3">
      <c r="A159" t="s">
        <v>420</v>
      </c>
      <c r="B159" t="s">
        <v>528</v>
      </c>
      <c r="C159">
        <v>50.638366816528297</v>
      </c>
      <c r="D159">
        <v>382</v>
      </c>
    </row>
    <row r="160" spans="1:4" x14ac:dyDescent="0.3">
      <c r="A160" t="s">
        <v>491</v>
      </c>
      <c r="B160" t="s">
        <v>517</v>
      </c>
      <c r="C160">
        <v>47.4406647863958</v>
      </c>
      <c r="D160">
        <v>120</v>
      </c>
    </row>
    <row r="161" spans="1:4" x14ac:dyDescent="0.3">
      <c r="A161" t="s">
        <v>491</v>
      </c>
      <c r="B161" t="s">
        <v>518</v>
      </c>
      <c r="C161">
        <v>70.0407360789264</v>
      </c>
      <c r="D161">
        <v>93</v>
      </c>
    </row>
    <row r="162" spans="1:4" x14ac:dyDescent="0.3">
      <c r="A162" t="s">
        <v>491</v>
      </c>
      <c r="B162" t="s">
        <v>510</v>
      </c>
      <c r="C162">
        <v>57.134981854646</v>
      </c>
      <c r="D162">
        <v>170</v>
      </c>
    </row>
    <row r="163" spans="1:4" x14ac:dyDescent="0.3">
      <c r="A163" t="s">
        <v>491</v>
      </c>
      <c r="B163" t="s">
        <v>519</v>
      </c>
      <c r="C163">
        <v>40.235331058226301</v>
      </c>
      <c r="D163">
        <v>87</v>
      </c>
    </row>
    <row r="164" spans="1:4" x14ac:dyDescent="0.3">
      <c r="A164" t="s">
        <v>491</v>
      </c>
      <c r="B164" t="s">
        <v>520</v>
      </c>
      <c r="C164">
        <v>37.0825579071889</v>
      </c>
      <c r="D164">
        <v>93</v>
      </c>
    </row>
    <row r="165" spans="1:4" x14ac:dyDescent="0.3">
      <c r="A165" t="s">
        <v>491</v>
      </c>
      <c r="B165" t="s">
        <v>521</v>
      </c>
      <c r="C165">
        <v>40.162955620652703</v>
      </c>
      <c r="D165">
        <v>192</v>
      </c>
    </row>
    <row r="166" spans="1:4" x14ac:dyDescent="0.3">
      <c r="A166" t="s">
        <v>491</v>
      </c>
      <c r="B166" t="s">
        <v>522</v>
      </c>
      <c r="C166">
        <v>39.365431517519703</v>
      </c>
      <c r="D166">
        <v>255</v>
      </c>
    </row>
    <row r="167" spans="1:4" x14ac:dyDescent="0.3">
      <c r="A167" t="s">
        <v>491</v>
      </c>
      <c r="B167" t="s">
        <v>523</v>
      </c>
      <c r="C167">
        <v>60.513242009132398</v>
      </c>
      <c r="D167">
        <v>3</v>
      </c>
    </row>
    <row r="168" spans="1:4" x14ac:dyDescent="0.3">
      <c r="A168" t="s">
        <v>491</v>
      </c>
      <c r="B168" t="s">
        <v>524</v>
      </c>
      <c r="C168">
        <v>53.4277275613317</v>
      </c>
      <c r="D168">
        <v>84</v>
      </c>
    </row>
    <row r="169" spans="1:4" x14ac:dyDescent="0.3">
      <c r="A169" t="s">
        <v>491</v>
      </c>
      <c r="B169" t="s">
        <v>525</v>
      </c>
      <c r="C169">
        <v>55.634664925787099</v>
      </c>
      <c r="D169">
        <v>170</v>
      </c>
    </row>
    <row r="170" spans="1:4" x14ac:dyDescent="0.3">
      <c r="A170" t="s">
        <v>491</v>
      </c>
      <c r="B170" t="s">
        <v>526</v>
      </c>
      <c r="C170">
        <v>74.347564566117597</v>
      </c>
      <c r="D170">
        <v>170</v>
      </c>
    </row>
    <row r="171" spans="1:4" x14ac:dyDescent="0.3">
      <c r="A171" t="s">
        <v>491</v>
      </c>
      <c r="B171" t="s">
        <v>527</v>
      </c>
      <c r="C171">
        <v>80.527480916363103</v>
      </c>
      <c r="D171">
        <v>81</v>
      </c>
    </row>
    <row r="172" spans="1:4" x14ac:dyDescent="0.3">
      <c r="A172" t="s">
        <v>491</v>
      </c>
      <c r="B172" t="s">
        <v>528</v>
      </c>
      <c r="C172">
        <v>39.431534969670203</v>
      </c>
      <c r="D172">
        <v>22</v>
      </c>
    </row>
  </sheetData>
  <sortState xmlns:xlrd2="http://schemas.microsoft.com/office/spreadsheetml/2017/richdata2" ref="A2:D172">
    <sortCondition ref="A2:A172"/>
  </sortState>
  <conditionalFormatting pivot="1" sqref="I5:I1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{68ADF516-6AF1-48E2-9573-C88D79B88EE8}</x14:id>
        </ext>
      </extLst>
    </cfRule>
  </conditionalFormatting>
  <conditionalFormatting pivot="1" sqref="I5:I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68ADF516-6AF1-48E2-9573-C88D79B88E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I5:I17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4BCBC-B217-4578-9C7C-78EA70EB9E43}">
  <dimension ref="A1:M144"/>
  <sheetViews>
    <sheetView topLeftCell="E17" workbookViewId="0"/>
  </sheetViews>
  <sheetFormatPr defaultRowHeight="14.4" x14ac:dyDescent="0.3"/>
  <cols>
    <col min="1" max="1" width="9.6640625" bestFit="1" customWidth="1"/>
    <col min="2" max="2" width="17.44140625" bestFit="1" customWidth="1"/>
    <col min="6" max="6" width="5" bestFit="1" customWidth="1"/>
    <col min="7" max="9" width="6.21875" customWidth="1"/>
    <col min="11" max="11" width="18.77734375" bestFit="1" customWidth="1"/>
    <col min="12" max="12" width="18.21875" bestFit="1" customWidth="1"/>
    <col min="13" max="13" width="16.44140625" bestFit="1" customWidth="1"/>
  </cols>
  <sheetData>
    <row r="1" spans="1:13" x14ac:dyDescent="0.3">
      <c r="A1" t="s">
        <v>512</v>
      </c>
      <c r="B1" t="s">
        <v>506</v>
      </c>
      <c r="C1" t="s">
        <v>507</v>
      </c>
      <c r="D1" t="s">
        <v>508</v>
      </c>
      <c r="E1" t="s">
        <v>509</v>
      </c>
      <c r="F1" s="7" t="s">
        <v>515</v>
      </c>
      <c r="G1" s="7" t="str">
        <f>C1&amp;"%"</f>
        <v>Zdravo%</v>
      </c>
      <c r="H1" s="7" t="str">
        <f t="shared" ref="H1:I1" si="0">D1&amp;"%"</f>
        <v>Mejno%</v>
      </c>
      <c r="I1" s="7" t="str">
        <f t="shared" si="0"/>
        <v>Tvegano%</v>
      </c>
    </row>
    <row r="2" spans="1:13" x14ac:dyDescent="0.3">
      <c r="A2" t="s">
        <v>505</v>
      </c>
      <c r="B2" t="s">
        <v>517</v>
      </c>
      <c r="C2">
        <v>1424</v>
      </c>
      <c r="D2">
        <v>491</v>
      </c>
      <c r="E2">
        <v>631</v>
      </c>
      <c r="F2">
        <f>SUM(C2:E2)</f>
        <v>2546</v>
      </c>
      <c r="G2" s="3">
        <f>C2/$F2</f>
        <v>0.55930871956009431</v>
      </c>
      <c r="H2" s="3">
        <f t="shared" ref="H2" si="1">D2/$F2</f>
        <v>0.19285153181461115</v>
      </c>
      <c r="I2" s="3">
        <f t="shared" ref="I2" si="2">E2/$F2</f>
        <v>0.24783974862529459</v>
      </c>
      <c r="K2" s="5" t="s">
        <v>506</v>
      </c>
      <c r="L2" t="s">
        <v>517</v>
      </c>
    </row>
    <row r="3" spans="1:13" x14ac:dyDescent="0.3">
      <c r="A3" t="s">
        <v>505</v>
      </c>
      <c r="B3" t="s">
        <v>518</v>
      </c>
      <c r="C3">
        <v>3050</v>
      </c>
      <c r="D3">
        <v>293</v>
      </c>
      <c r="E3">
        <v>107</v>
      </c>
      <c r="F3">
        <f t="shared" ref="F3:F66" si="3">SUM(C3:E3)</f>
        <v>3450</v>
      </c>
      <c r="G3" s="3">
        <f t="shared" ref="G3:G66" si="4">C3/$F3</f>
        <v>0.88405797101449279</v>
      </c>
      <c r="H3" s="3">
        <f t="shared" ref="H3:H66" si="5">D3/$F3</f>
        <v>8.4927536231884052E-2</v>
      </c>
      <c r="I3" s="3">
        <f t="shared" ref="I3:I66" si="6">E3/$F3</f>
        <v>3.1014492753623189E-2</v>
      </c>
    </row>
    <row r="4" spans="1:13" x14ac:dyDescent="0.3">
      <c r="A4" t="s">
        <v>505</v>
      </c>
      <c r="B4" t="s">
        <v>510</v>
      </c>
      <c r="C4">
        <v>1912</v>
      </c>
      <c r="D4">
        <v>915</v>
      </c>
      <c r="E4">
        <v>1332</v>
      </c>
      <c r="F4">
        <f t="shared" si="3"/>
        <v>4159</v>
      </c>
      <c r="G4" s="3">
        <f t="shared" si="4"/>
        <v>0.45972589564799232</v>
      </c>
      <c r="H4" s="3">
        <f t="shared" si="5"/>
        <v>0.22000480884828083</v>
      </c>
      <c r="I4" s="3">
        <f t="shared" si="6"/>
        <v>0.32026929550372685</v>
      </c>
      <c r="K4" s="5" t="s">
        <v>530</v>
      </c>
      <c r="L4" t="s">
        <v>534</v>
      </c>
      <c r="M4" t="s">
        <v>533</v>
      </c>
    </row>
    <row r="5" spans="1:13" x14ac:dyDescent="0.3">
      <c r="A5" t="s">
        <v>505</v>
      </c>
      <c r="B5" t="s">
        <v>519</v>
      </c>
      <c r="C5">
        <v>2274</v>
      </c>
      <c r="D5">
        <v>547</v>
      </c>
      <c r="E5">
        <v>236</v>
      </c>
      <c r="F5">
        <f t="shared" si="3"/>
        <v>3057</v>
      </c>
      <c r="G5" s="3">
        <f t="shared" si="4"/>
        <v>0.74386653581943085</v>
      </c>
      <c r="H5" s="3">
        <f t="shared" si="5"/>
        <v>0.17893359502780504</v>
      </c>
      <c r="I5" s="3">
        <f t="shared" si="6"/>
        <v>7.7199869152764153E-2</v>
      </c>
      <c r="K5" s="6" t="s">
        <v>6</v>
      </c>
      <c r="L5" s="8">
        <v>0.1864406779661017</v>
      </c>
      <c r="M5" s="8">
        <v>0.16949152542372881</v>
      </c>
    </row>
    <row r="6" spans="1:13" x14ac:dyDescent="0.3">
      <c r="A6" t="s">
        <v>505</v>
      </c>
      <c r="B6" t="s">
        <v>520</v>
      </c>
      <c r="C6">
        <v>1280</v>
      </c>
      <c r="D6">
        <v>419</v>
      </c>
      <c r="E6">
        <v>1709</v>
      </c>
      <c r="F6">
        <f t="shared" si="3"/>
        <v>3408</v>
      </c>
      <c r="G6" s="3">
        <f t="shared" si="4"/>
        <v>0.37558685446009388</v>
      </c>
      <c r="H6" s="3">
        <f t="shared" si="5"/>
        <v>0.12294600938967136</v>
      </c>
      <c r="I6" s="3">
        <f t="shared" si="6"/>
        <v>0.50146713615023475</v>
      </c>
      <c r="K6" s="6" t="s">
        <v>52</v>
      </c>
      <c r="L6" s="8">
        <v>0.21794871794871795</v>
      </c>
      <c r="M6" s="8">
        <v>0.17948717948717949</v>
      </c>
    </row>
    <row r="7" spans="1:13" x14ac:dyDescent="0.3">
      <c r="A7" t="s">
        <v>505</v>
      </c>
      <c r="B7" t="s">
        <v>521</v>
      </c>
      <c r="C7">
        <v>2105</v>
      </c>
      <c r="D7">
        <v>1082</v>
      </c>
      <c r="E7">
        <v>664</v>
      </c>
      <c r="F7">
        <f t="shared" si="3"/>
        <v>3851</v>
      </c>
      <c r="G7" s="3">
        <f t="shared" si="4"/>
        <v>0.54661126980005192</v>
      </c>
      <c r="H7" s="3">
        <f t="shared" si="5"/>
        <v>0.28096598286159441</v>
      </c>
      <c r="I7" s="3">
        <f t="shared" si="6"/>
        <v>0.17242274733835367</v>
      </c>
      <c r="K7" s="6" t="s">
        <v>96</v>
      </c>
      <c r="L7" s="8">
        <v>0.25490196078431371</v>
      </c>
      <c r="M7" s="8">
        <v>0.14705882352941177</v>
      </c>
    </row>
    <row r="8" spans="1:13" x14ac:dyDescent="0.3">
      <c r="A8" t="s">
        <v>505</v>
      </c>
      <c r="B8" t="s">
        <v>522</v>
      </c>
      <c r="C8">
        <v>3903</v>
      </c>
      <c r="D8">
        <v>205</v>
      </c>
      <c r="E8">
        <v>90</v>
      </c>
      <c r="F8">
        <f t="shared" si="3"/>
        <v>4198</v>
      </c>
      <c r="G8" s="3">
        <f t="shared" si="4"/>
        <v>0.92972844211529304</v>
      </c>
      <c r="H8" s="3">
        <f t="shared" si="5"/>
        <v>4.8832777513101479E-2</v>
      </c>
      <c r="I8" s="3">
        <f t="shared" si="6"/>
        <v>2.1438780371605525E-2</v>
      </c>
      <c r="K8" s="6" t="s">
        <v>143</v>
      </c>
      <c r="L8" s="8">
        <v>0.39473684210526316</v>
      </c>
      <c r="M8" s="8">
        <v>0.15789473684210525</v>
      </c>
    </row>
    <row r="9" spans="1:13" x14ac:dyDescent="0.3">
      <c r="A9" t="s">
        <v>505</v>
      </c>
      <c r="B9" t="s">
        <v>523</v>
      </c>
      <c r="C9">
        <v>221</v>
      </c>
      <c r="D9">
        <v>116</v>
      </c>
      <c r="E9">
        <v>469</v>
      </c>
      <c r="F9">
        <f t="shared" si="3"/>
        <v>806</v>
      </c>
      <c r="G9" s="3">
        <f t="shared" si="4"/>
        <v>0.27419354838709675</v>
      </c>
      <c r="H9" s="3">
        <f t="shared" si="5"/>
        <v>0.14392059553349876</v>
      </c>
      <c r="I9" s="3">
        <f t="shared" si="6"/>
        <v>0.58188585607940446</v>
      </c>
      <c r="K9" s="6" t="s">
        <v>163</v>
      </c>
      <c r="L9" s="8">
        <v>0.32307692307692309</v>
      </c>
      <c r="M9" s="8">
        <v>9.2307692307692313E-2</v>
      </c>
    </row>
    <row r="10" spans="1:13" x14ac:dyDescent="0.3">
      <c r="A10" t="s">
        <v>505</v>
      </c>
      <c r="B10" t="s">
        <v>524</v>
      </c>
      <c r="C10">
        <v>1505</v>
      </c>
      <c r="D10">
        <v>308</v>
      </c>
      <c r="E10">
        <v>1347</v>
      </c>
      <c r="F10">
        <f t="shared" si="3"/>
        <v>3160</v>
      </c>
      <c r="G10" s="3">
        <f t="shared" si="4"/>
        <v>0.47626582278481011</v>
      </c>
      <c r="H10" s="3">
        <f t="shared" si="5"/>
        <v>9.7468354430379753E-2</v>
      </c>
      <c r="I10" s="3">
        <f t="shared" si="6"/>
        <v>0.42626582278481012</v>
      </c>
      <c r="K10" s="6" t="s">
        <v>191</v>
      </c>
      <c r="L10" s="8">
        <v>0.24878048780487805</v>
      </c>
      <c r="M10" s="8">
        <v>0.2032520325203252</v>
      </c>
    </row>
    <row r="11" spans="1:13" x14ac:dyDescent="0.3">
      <c r="A11" t="s">
        <v>505</v>
      </c>
      <c r="B11" t="s">
        <v>527</v>
      </c>
      <c r="C11">
        <v>3005</v>
      </c>
      <c r="D11">
        <v>106</v>
      </c>
      <c r="E11">
        <v>158</v>
      </c>
      <c r="F11">
        <f t="shared" si="3"/>
        <v>3269</v>
      </c>
      <c r="G11" s="3">
        <f t="shared" si="4"/>
        <v>0.91924135821352093</v>
      </c>
      <c r="H11" s="3">
        <f t="shared" si="5"/>
        <v>3.2425818293055977E-2</v>
      </c>
      <c r="I11" s="3">
        <f t="shared" si="6"/>
        <v>4.8332823493423063E-2</v>
      </c>
      <c r="K11" s="6" t="s">
        <v>253</v>
      </c>
      <c r="L11" s="8">
        <v>0.14516129032258066</v>
      </c>
      <c r="M11" s="8">
        <v>0.19354838709677419</v>
      </c>
    </row>
    <row r="12" spans="1:13" x14ac:dyDescent="0.3">
      <c r="A12" t="s">
        <v>505</v>
      </c>
      <c r="B12" t="s">
        <v>528</v>
      </c>
      <c r="C12">
        <v>1051</v>
      </c>
      <c r="D12">
        <v>158</v>
      </c>
      <c r="E12">
        <v>105</v>
      </c>
      <c r="F12">
        <f t="shared" si="3"/>
        <v>1314</v>
      </c>
      <c r="G12" s="3">
        <f t="shared" si="4"/>
        <v>0.79984779299847797</v>
      </c>
      <c r="H12" s="3">
        <f t="shared" si="5"/>
        <v>0.12024353120243531</v>
      </c>
      <c r="I12" s="3">
        <f t="shared" si="6"/>
        <v>7.9908675799086754E-2</v>
      </c>
      <c r="K12" s="6" t="s">
        <v>333</v>
      </c>
      <c r="L12" s="8">
        <v>0.23684210526315788</v>
      </c>
      <c r="M12" s="8">
        <v>0.21052631578947367</v>
      </c>
    </row>
    <row r="13" spans="1:13" x14ac:dyDescent="0.3">
      <c r="A13" t="s">
        <v>6</v>
      </c>
      <c r="B13" t="s">
        <v>517</v>
      </c>
      <c r="C13">
        <v>76</v>
      </c>
      <c r="D13">
        <v>20</v>
      </c>
      <c r="E13">
        <v>22</v>
      </c>
      <c r="F13">
        <f t="shared" si="3"/>
        <v>118</v>
      </c>
      <c r="G13" s="3">
        <f t="shared" si="4"/>
        <v>0.64406779661016944</v>
      </c>
      <c r="H13" s="3">
        <f t="shared" si="5"/>
        <v>0.16949152542372881</v>
      </c>
      <c r="I13" s="3">
        <f t="shared" si="6"/>
        <v>0.1864406779661017</v>
      </c>
      <c r="K13" s="6" t="s">
        <v>371</v>
      </c>
      <c r="L13" s="8">
        <v>0.19379844961240311</v>
      </c>
      <c r="M13" s="8">
        <v>0.27906976744186046</v>
      </c>
    </row>
    <row r="14" spans="1:13" x14ac:dyDescent="0.3">
      <c r="A14" t="s">
        <v>6</v>
      </c>
      <c r="B14" t="s">
        <v>518</v>
      </c>
      <c r="C14">
        <v>236</v>
      </c>
      <c r="D14">
        <v>22</v>
      </c>
      <c r="E14">
        <v>3</v>
      </c>
      <c r="F14">
        <f t="shared" si="3"/>
        <v>261</v>
      </c>
      <c r="G14" s="3">
        <f t="shared" si="4"/>
        <v>0.90421455938697315</v>
      </c>
      <c r="H14" s="3">
        <f t="shared" si="5"/>
        <v>8.4291187739463605E-2</v>
      </c>
      <c r="I14" s="3">
        <f t="shared" si="6"/>
        <v>1.1494252873563218E-2</v>
      </c>
      <c r="K14" s="6" t="s">
        <v>402</v>
      </c>
      <c r="L14" s="8">
        <v>0.14285714285714285</v>
      </c>
      <c r="M14" s="8">
        <v>0.14285714285714285</v>
      </c>
    </row>
    <row r="15" spans="1:13" x14ac:dyDescent="0.3">
      <c r="A15" t="s">
        <v>6</v>
      </c>
      <c r="B15" t="s">
        <v>510</v>
      </c>
      <c r="C15">
        <v>139</v>
      </c>
      <c r="D15">
        <v>65</v>
      </c>
      <c r="E15">
        <v>84</v>
      </c>
      <c r="F15">
        <f t="shared" si="3"/>
        <v>288</v>
      </c>
      <c r="G15" s="3">
        <f t="shared" si="4"/>
        <v>0.4826388888888889</v>
      </c>
      <c r="H15" s="3">
        <f t="shared" si="5"/>
        <v>0.22569444444444445</v>
      </c>
      <c r="I15" s="3">
        <f t="shared" si="6"/>
        <v>0.29166666666666669</v>
      </c>
      <c r="K15" s="6" t="s">
        <v>420</v>
      </c>
      <c r="L15" s="8">
        <v>0.203125</v>
      </c>
      <c r="M15" s="8">
        <v>0.2109375</v>
      </c>
    </row>
    <row r="16" spans="1:13" x14ac:dyDescent="0.3">
      <c r="A16" t="s">
        <v>6</v>
      </c>
      <c r="B16" t="s">
        <v>519</v>
      </c>
      <c r="C16">
        <v>173</v>
      </c>
      <c r="D16">
        <v>55</v>
      </c>
      <c r="E16">
        <v>16</v>
      </c>
      <c r="F16">
        <f t="shared" si="3"/>
        <v>244</v>
      </c>
      <c r="G16" s="3">
        <f t="shared" si="4"/>
        <v>0.70901639344262291</v>
      </c>
      <c r="H16" s="3">
        <f t="shared" si="5"/>
        <v>0.22540983606557377</v>
      </c>
      <c r="I16" s="3">
        <f t="shared" si="6"/>
        <v>6.5573770491803282E-2</v>
      </c>
      <c r="K16" s="6" t="s">
        <v>505</v>
      </c>
      <c r="L16" s="8">
        <v>0.24783974862529459</v>
      </c>
      <c r="M16" s="8">
        <v>0.19285153181461115</v>
      </c>
    </row>
    <row r="17" spans="1:13" x14ac:dyDescent="0.3">
      <c r="A17" t="s">
        <v>6</v>
      </c>
      <c r="B17" t="s">
        <v>520</v>
      </c>
      <c r="C17">
        <v>91</v>
      </c>
      <c r="D17">
        <v>38</v>
      </c>
      <c r="E17">
        <v>114</v>
      </c>
      <c r="F17">
        <f t="shared" si="3"/>
        <v>243</v>
      </c>
      <c r="G17" s="3">
        <f t="shared" si="4"/>
        <v>0.37448559670781895</v>
      </c>
      <c r="H17" s="3">
        <f t="shared" si="5"/>
        <v>0.15637860082304528</v>
      </c>
      <c r="I17" s="3">
        <f t="shared" si="6"/>
        <v>0.46913580246913578</v>
      </c>
      <c r="K17" s="6" t="s">
        <v>491</v>
      </c>
      <c r="L17" s="8">
        <v>0.22727272727272727</v>
      </c>
      <c r="M17" s="8">
        <v>0.31818181818181818</v>
      </c>
    </row>
    <row r="18" spans="1:13" x14ac:dyDescent="0.3">
      <c r="A18" t="s">
        <v>6</v>
      </c>
      <c r="B18" t="s">
        <v>521</v>
      </c>
      <c r="C18">
        <v>145</v>
      </c>
      <c r="D18">
        <v>91</v>
      </c>
      <c r="E18">
        <v>63</v>
      </c>
      <c r="F18">
        <f t="shared" si="3"/>
        <v>299</v>
      </c>
      <c r="G18" s="3">
        <f t="shared" si="4"/>
        <v>0.48494983277591974</v>
      </c>
      <c r="H18" s="3">
        <f t="shared" si="5"/>
        <v>0.30434782608695654</v>
      </c>
      <c r="I18" s="3">
        <f t="shared" si="6"/>
        <v>0.21070234113712374</v>
      </c>
      <c r="K18" s="6" t="s">
        <v>531</v>
      </c>
      <c r="L18">
        <v>0.23252169797226951</v>
      </c>
      <c r="M18">
        <v>0.19211265025324029</v>
      </c>
    </row>
    <row r="19" spans="1:13" x14ac:dyDescent="0.3">
      <c r="A19" t="s">
        <v>6</v>
      </c>
      <c r="B19" t="s">
        <v>522</v>
      </c>
      <c r="C19">
        <v>297</v>
      </c>
      <c r="D19">
        <v>14</v>
      </c>
      <c r="E19">
        <v>4</v>
      </c>
      <c r="F19">
        <f t="shared" si="3"/>
        <v>315</v>
      </c>
      <c r="G19" s="3">
        <f t="shared" si="4"/>
        <v>0.94285714285714284</v>
      </c>
      <c r="H19" s="3">
        <f t="shared" si="5"/>
        <v>4.4444444444444446E-2</v>
      </c>
      <c r="I19" s="3">
        <f t="shared" si="6"/>
        <v>1.2698412698412698E-2</v>
      </c>
    </row>
    <row r="20" spans="1:13" x14ac:dyDescent="0.3">
      <c r="A20" t="s">
        <v>6</v>
      </c>
      <c r="B20" t="s">
        <v>523</v>
      </c>
      <c r="C20">
        <v>29</v>
      </c>
      <c r="D20">
        <v>10</v>
      </c>
      <c r="E20">
        <v>72</v>
      </c>
      <c r="F20">
        <f t="shared" si="3"/>
        <v>111</v>
      </c>
      <c r="G20" s="3">
        <f t="shared" si="4"/>
        <v>0.26126126126126126</v>
      </c>
      <c r="H20" s="3">
        <f t="shared" si="5"/>
        <v>9.0090090090090086E-2</v>
      </c>
      <c r="I20" s="3">
        <f t="shared" si="6"/>
        <v>0.64864864864864868</v>
      </c>
    </row>
    <row r="21" spans="1:13" x14ac:dyDescent="0.3">
      <c r="A21" t="s">
        <v>6</v>
      </c>
      <c r="B21" t="s">
        <v>524</v>
      </c>
      <c r="C21">
        <v>125</v>
      </c>
      <c r="D21">
        <v>29</v>
      </c>
      <c r="E21">
        <v>83</v>
      </c>
      <c r="F21">
        <f t="shared" si="3"/>
        <v>237</v>
      </c>
      <c r="G21" s="3">
        <f t="shared" si="4"/>
        <v>0.52742616033755274</v>
      </c>
      <c r="H21" s="3">
        <f t="shared" si="5"/>
        <v>0.12236286919831224</v>
      </c>
      <c r="I21" s="3">
        <f t="shared" si="6"/>
        <v>0.35021097046413502</v>
      </c>
    </row>
    <row r="22" spans="1:13" x14ac:dyDescent="0.3">
      <c r="A22" t="s">
        <v>6</v>
      </c>
      <c r="B22" t="s">
        <v>527</v>
      </c>
      <c r="C22">
        <v>225</v>
      </c>
      <c r="D22">
        <v>7</v>
      </c>
      <c r="E22">
        <v>11</v>
      </c>
      <c r="F22">
        <f t="shared" si="3"/>
        <v>243</v>
      </c>
      <c r="G22" s="3">
        <f t="shared" si="4"/>
        <v>0.92592592592592593</v>
      </c>
      <c r="H22" s="3">
        <f t="shared" si="5"/>
        <v>2.8806584362139918E-2</v>
      </c>
      <c r="I22" s="3">
        <f t="shared" si="6"/>
        <v>4.5267489711934158E-2</v>
      </c>
    </row>
    <row r="23" spans="1:13" x14ac:dyDescent="0.3">
      <c r="A23" t="s">
        <v>6</v>
      </c>
      <c r="B23" t="s">
        <v>528</v>
      </c>
      <c r="C23">
        <v>114</v>
      </c>
      <c r="D23">
        <v>12</v>
      </c>
      <c r="E23">
        <v>11</v>
      </c>
      <c r="F23">
        <f t="shared" si="3"/>
        <v>137</v>
      </c>
      <c r="G23" s="3">
        <f t="shared" si="4"/>
        <v>0.83211678832116787</v>
      </c>
      <c r="H23" s="3">
        <f t="shared" si="5"/>
        <v>8.7591240875912413E-2</v>
      </c>
      <c r="I23" s="3">
        <f t="shared" si="6"/>
        <v>8.0291970802919707E-2</v>
      </c>
    </row>
    <row r="24" spans="1:13" x14ac:dyDescent="0.3">
      <c r="A24" t="s">
        <v>52</v>
      </c>
      <c r="B24" t="s">
        <v>517</v>
      </c>
      <c r="C24">
        <v>47</v>
      </c>
      <c r="D24">
        <v>14</v>
      </c>
      <c r="E24">
        <v>17</v>
      </c>
      <c r="F24">
        <f t="shared" si="3"/>
        <v>78</v>
      </c>
      <c r="G24" s="3">
        <f t="shared" si="4"/>
        <v>0.60256410256410253</v>
      </c>
      <c r="H24" s="3">
        <f t="shared" si="5"/>
        <v>0.17948717948717949</v>
      </c>
      <c r="I24" s="3">
        <f t="shared" si="6"/>
        <v>0.21794871794871795</v>
      </c>
    </row>
    <row r="25" spans="1:13" x14ac:dyDescent="0.3">
      <c r="A25" t="s">
        <v>52</v>
      </c>
      <c r="B25" t="s">
        <v>518</v>
      </c>
      <c r="C25">
        <v>73</v>
      </c>
      <c r="D25">
        <v>9</v>
      </c>
      <c r="E25">
        <v>1</v>
      </c>
      <c r="F25">
        <f t="shared" si="3"/>
        <v>83</v>
      </c>
      <c r="G25" s="3">
        <f t="shared" si="4"/>
        <v>0.87951807228915657</v>
      </c>
      <c r="H25" s="3">
        <f t="shared" si="5"/>
        <v>0.10843373493975904</v>
      </c>
      <c r="I25" s="3">
        <f t="shared" si="6"/>
        <v>1.2048192771084338E-2</v>
      </c>
    </row>
    <row r="26" spans="1:13" x14ac:dyDescent="0.3">
      <c r="A26" t="s">
        <v>52</v>
      </c>
      <c r="B26" t="s">
        <v>510</v>
      </c>
      <c r="C26">
        <v>56</v>
      </c>
      <c r="D26">
        <v>19</v>
      </c>
      <c r="E26">
        <v>31</v>
      </c>
      <c r="F26">
        <f t="shared" si="3"/>
        <v>106</v>
      </c>
      <c r="G26" s="3">
        <f t="shared" si="4"/>
        <v>0.52830188679245282</v>
      </c>
      <c r="H26" s="3">
        <f t="shared" si="5"/>
        <v>0.17924528301886791</v>
      </c>
      <c r="I26" s="3">
        <f t="shared" si="6"/>
        <v>0.29245283018867924</v>
      </c>
    </row>
    <row r="27" spans="1:13" x14ac:dyDescent="0.3">
      <c r="A27" t="s">
        <v>52</v>
      </c>
      <c r="B27" t="s">
        <v>519</v>
      </c>
      <c r="C27">
        <v>60</v>
      </c>
      <c r="D27">
        <v>15</v>
      </c>
      <c r="E27">
        <v>2</v>
      </c>
      <c r="F27">
        <f t="shared" si="3"/>
        <v>77</v>
      </c>
      <c r="G27" s="3">
        <f t="shared" si="4"/>
        <v>0.77922077922077926</v>
      </c>
      <c r="H27" s="3">
        <f t="shared" si="5"/>
        <v>0.19480519480519481</v>
      </c>
      <c r="I27" s="3">
        <f t="shared" si="6"/>
        <v>2.5974025974025976E-2</v>
      </c>
    </row>
    <row r="28" spans="1:13" x14ac:dyDescent="0.3">
      <c r="A28" t="s">
        <v>52</v>
      </c>
      <c r="B28" t="s">
        <v>520</v>
      </c>
      <c r="C28">
        <v>26</v>
      </c>
      <c r="D28">
        <v>10</v>
      </c>
      <c r="E28">
        <v>43</v>
      </c>
      <c r="F28">
        <f t="shared" si="3"/>
        <v>79</v>
      </c>
      <c r="G28" s="3">
        <f t="shared" si="4"/>
        <v>0.32911392405063289</v>
      </c>
      <c r="H28" s="3">
        <f t="shared" si="5"/>
        <v>0.12658227848101267</v>
      </c>
      <c r="I28" s="3">
        <f t="shared" si="6"/>
        <v>0.54430379746835444</v>
      </c>
    </row>
    <row r="29" spans="1:13" x14ac:dyDescent="0.3">
      <c r="A29" t="s">
        <v>52</v>
      </c>
      <c r="B29" t="s">
        <v>521</v>
      </c>
      <c r="C29">
        <v>69</v>
      </c>
      <c r="D29">
        <v>25</v>
      </c>
      <c r="E29">
        <v>27</v>
      </c>
      <c r="F29">
        <f t="shared" si="3"/>
        <v>121</v>
      </c>
      <c r="G29" s="3">
        <f t="shared" si="4"/>
        <v>0.57024793388429751</v>
      </c>
      <c r="H29" s="3">
        <f t="shared" si="5"/>
        <v>0.20661157024793389</v>
      </c>
      <c r="I29" s="3">
        <f t="shared" si="6"/>
        <v>0.2231404958677686</v>
      </c>
    </row>
    <row r="30" spans="1:13" x14ac:dyDescent="0.3">
      <c r="A30" t="s">
        <v>52</v>
      </c>
      <c r="B30" t="s">
        <v>522</v>
      </c>
      <c r="C30">
        <v>112</v>
      </c>
      <c r="D30">
        <v>6</v>
      </c>
      <c r="E30">
        <v>1</v>
      </c>
      <c r="F30">
        <f t="shared" si="3"/>
        <v>119</v>
      </c>
      <c r="G30" s="3">
        <f t="shared" si="4"/>
        <v>0.94117647058823528</v>
      </c>
      <c r="H30" s="3">
        <f t="shared" si="5"/>
        <v>5.0420168067226892E-2</v>
      </c>
      <c r="I30" s="3">
        <f t="shared" si="6"/>
        <v>8.4033613445378148E-3</v>
      </c>
    </row>
    <row r="31" spans="1:13" x14ac:dyDescent="0.3">
      <c r="A31" t="s">
        <v>52</v>
      </c>
      <c r="B31" t="s">
        <v>523</v>
      </c>
      <c r="C31">
        <v>3</v>
      </c>
      <c r="D31">
        <v>0</v>
      </c>
      <c r="E31">
        <v>4</v>
      </c>
      <c r="F31">
        <f t="shared" si="3"/>
        <v>7</v>
      </c>
      <c r="G31" s="3">
        <f t="shared" si="4"/>
        <v>0.42857142857142855</v>
      </c>
      <c r="H31" s="3">
        <f t="shared" si="5"/>
        <v>0</v>
      </c>
      <c r="I31" s="3">
        <f t="shared" si="6"/>
        <v>0.5714285714285714</v>
      </c>
    </row>
    <row r="32" spans="1:13" x14ac:dyDescent="0.3">
      <c r="A32" t="s">
        <v>52</v>
      </c>
      <c r="B32" t="s">
        <v>524</v>
      </c>
      <c r="C32">
        <v>33</v>
      </c>
      <c r="D32">
        <v>7</v>
      </c>
      <c r="E32">
        <v>34</v>
      </c>
      <c r="F32">
        <f t="shared" si="3"/>
        <v>74</v>
      </c>
      <c r="G32" s="3">
        <f t="shared" si="4"/>
        <v>0.44594594594594594</v>
      </c>
      <c r="H32" s="3">
        <f t="shared" si="5"/>
        <v>9.45945945945946E-2</v>
      </c>
      <c r="I32" s="3">
        <f t="shared" si="6"/>
        <v>0.45945945945945948</v>
      </c>
    </row>
    <row r="33" spans="1:9" x14ac:dyDescent="0.3">
      <c r="A33" t="s">
        <v>52</v>
      </c>
      <c r="B33" t="s">
        <v>527</v>
      </c>
      <c r="C33">
        <v>69</v>
      </c>
      <c r="D33">
        <v>2</v>
      </c>
      <c r="E33">
        <v>5</v>
      </c>
      <c r="F33">
        <f t="shared" si="3"/>
        <v>76</v>
      </c>
      <c r="G33" s="3">
        <f t="shared" si="4"/>
        <v>0.90789473684210531</v>
      </c>
      <c r="H33" s="3">
        <f t="shared" si="5"/>
        <v>2.6315789473684209E-2</v>
      </c>
      <c r="I33" s="3">
        <f t="shared" si="6"/>
        <v>6.5789473684210523E-2</v>
      </c>
    </row>
    <row r="34" spans="1:9" x14ac:dyDescent="0.3">
      <c r="A34" t="s">
        <v>52</v>
      </c>
      <c r="B34" t="s">
        <v>528</v>
      </c>
      <c r="C34">
        <v>10</v>
      </c>
      <c r="D34">
        <v>3</v>
      </c>
      <c r="E34">
        <v>2</v>
      </c>
      <c r="F34">
        <f t="shared" si="3"/>
        <v>15</v>
      </c>
      <c r="G34" s="3">
        <f t="shared" si="4"/>
        <v>0.66666666666666663</v>
      </c>
      <c r="H34" s="3">
        <f t="shared" si="5"/>
        <v>0.2</v>
      </c>
      <c r="I34" s="3">
        <f t="shared" si="6"/>
        <v>0.13333333333333333</v>
      </c>
    </row>
    <row r="35" spans="1:9" x14ac:dyDescent="0.3">
      <c r="A35" t="s">
        <v>96</v>
      </c>
      <c r="B35" t="s">
        <v>517</v>
      </c>
      <c r="C35">
        <v>61</v>
      </c>
      <c r="D35">
        <v>15</v>
      </c>
      <c r="E35">
        <v>26</v>
      </c>
      <c r="F35">
        <f t="shared" si="3"/>
        <v>102</v>
      </c>
      <c r="G35" s="3">
        <f t="shared" si="4"/>
        <v>0.59803921568627449</v>
      </c>
      <c r="H35" s="3">
        <f t="shared" si="5"/>
        <v>0.14705882352941177</v>
      </c>
      <c r="I35" s="3">
        <f t="shared" si="6"/>
        <v>0.25490196078431371</v>
      </c>
    </row>
    <row r="36" spans="1:9" x14ac:dyDescent="0.3">
      <c r="A36" t="s">
        <v>96</v>
      </c>
      <c r="B36" t="s">
        <v>518</v>
      </c>
      <c r="C36">
        <v>114</v>
      </c>
      <c r="D36">
        <v>14</v>
      </c>
      <c r="E36">
        <v>1</v>
      </c>
      <c r="F36">
        <f t="shared" si="3"/>
        <v>129</v>
      </c>
      <c r="G36" s="3">
        <f t="shared" si="4"/>
        <v>0.88372093023255816</v>
      </c>
      <c r="H36" s="3">
        <f t="shared" si="5"/>
        <v>0.10852713178294573</v>
      </c>
      <c r="I36" s="3">
        <f t="shared" si="6"/>
        <v>7.7519379844961239E-3</v>
      </c>
    </row>
    <row r="37" spans="1:9" x14ac:dyDescent="0.3">
      <c r="A37" t="s">
        <v>96</v>
      </c>
      <c r="B37" t="s">
        <v>510</v>
      </c>
      <c r="C37">
        <v>86</v>
      </c>
      <c r="D37">
        <v>28</v>
      </c>
      <c r="E37">
        <v>51</v>
      </c>
      <c r="F37">
        <f t="shared" si="3"/>
        <v>165</v>
      </c>
      <c r="G37" s="3">
        <f t="shared" si="4"/>
        <v>0.52121212121212124</v>
      </c>
      <c r="H37" s="3">
        <f t="shared" si="5"/>
        <v>0.16969696969696971</v>
      </c>
      <c r="I37" s="3">
        <f t="shared" si="6"/>
        <v>0.30909090909090908</v>
      </c>
    </row>
    <row r="38" spans="1:9" x14ac:dyDescent="0.3">
      <c r="A38" t="s">
        <v>96</v>
      </c>
      <c r="B38" t="s">
        <v>519</v>
      </c>
      <c r="C38">
        <v>87</v>
      </c>
      <c r="D38">
        <v>21</v>
      </c>
      <c r="E38">
        <v>11</v>
      </c>
      <c r="F38">
        <f t="shared" si="3"/>
        <v>119</v>
      </c>
      <c r="G38" s="3">
        <f t="shared" si="4"/>
        <v>0.73109243697478987</v>
      </c>
      <c r="H38" s="3">
        <f t="shared" si="5"/>
        <v>0.17647058823529413</v>
      </c>
      <c r="I38" s="3">
        <f t="shared" si="6"/>
        <v>9.2436974789915971E-2</v>
      </c>
    </row>
    <row r="39" spans="1:9" x14ac:dyDescent="0.3">
      <c r="A39" t="s">
        <v>96</v>
      </c>
      <c r="B39" t="s">
        <v>520</v>
      </c>
      <c r="C39">
        <v>52</v>
      </c>
      <c r="D39">
        <v>20</v>
      </c>
      <c r="E39">
        <v>68</v>
      </c>
      <c r="F39">
        <f t="shared" si="3"/>
        <v>140</v>
      </c>
      <c r="G39" s="3">
        <f t="shared" si="4"/>
        <v>0.37142857142857144</v>
      </c>
      <c r="H39" s="3">
        <f t="shared" si="5"/>
        <v>0.14285714285714285</v>
      </c>
      <c r="I39" s="3">
        <f t="shared" si="6"/>
        <v>0.48571428571428571</v>
      </c>
    </row>
    <row r="40" spans="1:9" x14ac:dyDescent="0.3">
      <c r="A40" t="s">
        <v>96</v>
      </c>
      <c r="B40" t="s">
        <v>521</v>
      </c>
      <c r="C40">
        <v>82</v>
      </c>
      <c r="D40">
        <v>41</v>
      </c>
      <c r="E40">
        <v>33</v>
      </c>
      <c r="F40">
        <f t="shared" si="3"/>
        <v>156</v>
      </c>
      <c r="G40" s="3">
        <f t="shared" si="4"/>
        <v>0.52564102564102566</v>
      </c>
      <c r="H40" s="3">
        <f t="shared" si="5"/>
        <v>0.26282051282051283</v>
      </c>
      <c r="I40" s="3">
        <f t="shared" si="6"/>
        <v>0.21153846153846154</v>
      </c>
    </row>
    <row r="41" spans="1:9" x14ac:dyDescent="0.3">
      <c r="A41" t="s">
        <v>96</v>
      </c>
      <c r="B41" t="s">
        <v>522</v>
      </c>
      <c r="C41">
        <v>152</v>
      </c>
      <c r="D41">
        <v>11</v>
      </c>
      <c r="E41">
        <v>3</v>
      </c>
      <c r="F41">
        <f t="shared" si="3"/>
        <v>166</v>
      </c>
      <c r="G41" s="3">
        <f t="shared" si="4"/>
        <v>0.91566265060240959</v>
      </c>
      <c r="H41" s="3">
        <f t="shared" si="5"/>
        <v>6.6265060240963861E-2</v>
      </c>
      <c r="I41" s="3">
        <f t="shared" si="6"/>
        <v>1.8072289156626505E-2</v>
      </c>
    </row>
    <row r="42" spans="1:9" x14ac:dyDescent="0.3">
      <c r="A42" t="s">
        <v>96</v>
      </c>
      <c r="B42" t="s">
        <v>523</v>
      </c>
      <c r="C42">
        <v>3</v>
      </c>
      <c r="D42">
        <v>1</v>
      </c>
      <c r="E42">
        <v>13</v>
      </c>
      <c r="F42">
        <f t="shared" si="3"/>
        <v>17</v>
      </c>
      <c r="G42" s="3">
        <f t="shared" si="4"/>
        <v>0.17647058823529413</v>
      </c>
      <c r="H42" s="3">
        <f t="shared" si="5"/>
        <v>5.8823529411764705E-2</v>
      </c>
      <c r="I42" s="3">
        <f t="shared" si="6"/>
        <v>0.76470588235294112</v>
      </c>
    </row>
    <row r="43" spans="1:9" x14ac:dyDescent="0.3">
      <c r="A43" t="s">
        <v>96</v>
      </c>
      <c r="B43" t="s">
        <v>524</v>
      </c>
      <c r="C43">
        <v>53</v>
      </c>
      <c r="D43">
        <v>14</v>
      </c>
      <c r="E43">
        <v>47</v>
      </c>
      <c r="F43">
        <f t="shared" si="3"/>
        <v>114</v>
      </c>
      <c r="G43" s="3">
        <f t="shared" si="4"/>
        <v>0.46491228070175439</v>
      </c>
      <c r="H43" s="3">
        <f t="shared" si="5"/>
        <v>0.12280701754385964</v>
      </c>
      <c r="I43" s="3">
        <f t="shared" si="6"/>
        <v>0.41228070175438597</v>
      </c>
    </row>
    <row r="44" spans="1:9" x14ac:dyDescent="0.3">
      <c r="A44" t="s">
        <v>96</v>
      </c>
      <c r="B44" t="s">
        <v>527</v>
      </c>
      <c r="C44">
        <v>106</v>
      </c>
      <c r="D44">
        <v>7</v>
      </c>
      <c r="E44">
        <v>3</v>
      </c>
      <c r="F44">
        <f t="shared" si="3"/>
        <v>116</v>
      </c>
      <c r="G44" s="3">
        <f t="shared" si="4"/>
        <v>0.91379310344827591</v>
      </c>
      <c r="H44" s="3">
        <f t="shared" si="5"/>
        <v>6.0344827586206899E-2</v>
      </c>
      <c r="I44" s="3">
        <f t="shared" si="6"/>
        <v>2.5862068965517241E-2</v>
      </c>
    </row>
    <row r="45" spans="1:9" x14ac:dyDescent="0.3">
      <c r="A45" t="s">
        <v>96</v>
      </c>
      <c r="B45" t="s">
        <v>528</v>
      </c>
      <c r="C45">
        <v>43</v>
      </c>
      <c r="D45">
        <v>12</v>
      </c>
      <c r="E45">
        <v>6</v>
      </c>
      <c r="F45">
        <f t="shared" si="3"/>
        <v>61</v>
      </c>
      <c r="G45" s="3">
        <f t="shared" si="4"/>
        <v>0.70491803278688525</v>
      </c>
      <c r="H45" s="3">
        <f t="shared" si="5"/>
        <v>0.19672131147540983</v>
      </c>
      <c r="I45" s="3">
        <f t="shared" si="6"/>
        <v>9.8360655737704916E-2</v>
      </c>
    </row>
    <row r="46" spans="1:9" x14ac:dyDescent="0.3">
      <c r="A46" t="s">
        <v>143</v>
      </c>
      <c r="B46" t="s">
        <v>517</v>
      </c>
      <c r="C46">
        <v>17</v>
      </c>
      <c r="D46">
        <v>6</v>
      </c>
      <c r="E46">
        <v>15</v>
      </c>
      <c r="F46">
        <f t="shared" si="3"/>
        <v>38</v>
      </c>
      <c r="G46" s="3">
        <f t="shared" si="4"/>
        <v>0.44736842105263158</v>
      </c>
      <c r="H46" s="3">
        <f t="shared" si="5"/>
        <v>0.15789473684210525</v>
      </c>
      <c r="I46" s="3">
        <f t="shared" si="6"/>
        <v>0.39473684210526316</v>
      </c>
    </row>
    <row r="47" spans="1:9" x14ac:dyDescent="0.3">
      <c r="A47" t="s">
        <v>143</v>
      </c>
      <c r="B47" t="s">
        <v>518</v>
      </c>
      <c r="C47">
        <v>55</v>
      </c>
      <c r="D47">
        <v>6</v>
      </c>
      <c r="E47">
        <v>4</v>
      </c>
      <c r="F47">
        <f t="shared" si="3"/>
        <v>65</v>
      </c>
      <c r="G47" s="3">
        <f t="shared" si="4"/>
        <v>0.84615384615384615</v>
      </c>
      <c r="H47" s="3">
        <f t="shared" si="5"/>
        <v>9.2307692307692313E-2</v>
      </c>
      <c r="I47" s="3">
        <f t="shared" si="6"/>
        <v>6.1538461538461542E-2</v>
      </c>
    </row>
    <row r="48" spans="1:9" x14ac:dyDescent="0.3">
      <c r="A48" t="s">
        <v>143</v>
      </c>
      <c r="B48" t="s">
        <v>510</v>
      </c>
      <c r="C48">
        <v>31</v>
      </c>
      <c r="D48">
        <v>15</v>
      </c>
      <c r="E48">
        <v>20</v>
      </c>
      <c r="F48">
        <f t="shared" si="3"/>
        <v>66</v>
      </c>
      <c r="G48" s="3">
        <f t="shared" si="4"/>
        <v>0.46969696969696972</v>
      </c>
      <c r="H48" s="3">
        <f t="shared" si="5"/>
        <v>0.22727272727272727</v>
      </c>
      <c r="I48" s="3">
        <f t="shared" si="6"/>
        <v>0.30303030303030304</v>
      </c>
    </row>
    <row r="49" spans="1:9" x14ac:dyDescent="0.3">
      <c r="A49" t="s">
        <v>143</v>
      </c>
      <c r="B49" t="s">
        <v>519</v>
      </c>
      <c r="C49">
        <v>51</v>
      </c>
      <c r="D49">
        <v>8</v>
      </c>
      <c r="E49">
        <v>3</v>
      </c>
      <c r="F49">
        <f t="shared" si="3"/>
        <v>62</v>
      </c>
      <c r="G49" s="3">
        <f t="shared" si="4"/>
        <v>0.82258064516129037</v>
      </c>
      <c r="H49" s="3">
        <f t="shared" si="5"/>
        <v>0.12903225806451613</v>
      </c>
      <c r="I49" s="3">
        <f t="shared" si="6"/>
        <v>4.8387096774193547E-2</v>
      </c>
    </row>
    <row r="50" spans="1:9" x14ac:dyDescent="0.3">
      <c r="A50" t="s">
        <v>143</v>
      </c>
      <c r="B50" t="s">
        <v>520</v>
      </c>
      <c r="C50">
        <v>17</v>
      </c>
      <c r="D50">
        <v>6</v>
      </c>
      <c r="E50">
        <v>38</v>
      </c>
      <c r="F50">
        <f t="shared" si="3"/>
        <v>61</v>
      </c>
      <c r="G50" s="3">
        <f t="shared" si="4"/>
        <v>0.27868852459016391</v>
      </c>
      <c r="H50" s="3">
        <f t="shared" si="5"/>
        <v>9.8360655737704916E-2</v>
      </c>
      <c r="I50" s="3">
        <f t="shared" si="6"/>
        <v>0.62295081967213117</v>
      </c>
    </row>
    <row r="51" spans="1:9" x14ac:dyDescent="0.3">
      <c r="A51" t="s">
        <v>143</v>
      </c>
      <c r="B51" t="s">
        <v>521</v>
      </c>
      <c r="C51">
        <v>41</v>
      </c>
      <c r="D51">
        <v>19</v>
      </c>
      <c r="E51">
        <v>11</v>
      </c>
      <c r="F51">
        <f t="shared" si="3"/>
        <v>71</v>
      </c>
      <c r="G51" s="3">
        <f t="shared" si="4"/>
        <v>0.57746478873239437</v>
      </c>
      <c r="H51" s="3">
        <f t="shared" si="5"/>
        <v>0.26760563380281688</v>
      </c>
      <c r="I51" s="3">
        <f t="shared" si="6"/>
        <v>0.15492957746478872</v>
      </c>
    </row>
    <row r="52" spans="1:9" x14ac:dyDescent="0.3">
      <c r="A52" t="s">
        <v>143</v>
      </c>
      <c r="B52" t="s">
        <v>522</v>
      </c>
      <c r="C52">
        <v>66</v>
      </c>
      <c r="D52">
        <v>3</v>
      </c>
      <c r="E52">
        <v>2</v>
      </c>
      <c r="F52">
        <f t="shared" si="3"/>
        <v>71</v>
      </c>
      <c r="G52" s="3">
        <f t="shared" si="4"/>
        <v>0.92957746478873238</v>
      </c>
      <c r="H52" s="3">
        <f t="shared" si="5"/>
        <v>4.2253521126760563E-2</v>
      </c>
      <c r="I52" s="3">
        <f t="shared" si="6"/>
        <v>2.8169014084507043E-2</v>
      </c>
    </row>
    <row r="53" spans="1:9" x14ac:dyDescent="0.3">
      <c r="A53" t="s">
        <v>143</v>
      </c>
      <c r="B53" t="s">
        <v>523</v>
      </c>
      <c r="C53">
        <v>3</v>
      </c>
      <c r="D53">
        <v>0</v>
      </c>
      <c r="E53">
        <v>12</v>
      </c>
      <c r="F53">
        <f t="shared" si="3"/>
        <v>15</v>
      </c>
      <c r="G53" s="3">
        <f t="shared" si="4"/>
        <v>0.2</v>
      </c>
      <c r="H53" s="3">
        <f t="shared" si="5"/>
        <v>0</v>
      </c>
      <c r="I53" s="3">
        <f t="shared" si="6"/>
        <v>0.8</v>
      </c>
    </row>
    <row r="54" spans="1:9" x14ac:dyDescent="0.3">
      <c r="A54" t="s">
        <v>143</v>
      </c>
      <c r="B54" t="s">
        <v>524</v>
      </c>
      <c r="C54">
        <v>19</v>
      </c>
      <c r="D54">
        <v>7</v>
      </c>
      <c r="E54">
        <v>33</v>
      </c>
      <c r="F54">
        <f t="shared" si="3"/>
        <v>59</v>
      </c>
      <c r="G54" s="3">
        <f t="shared" si="4"/>
        <v>0.32203389830508472</v>
      </c>
      <c r="H54" s="3">
        <f t="shared" si="5"/>
        <v>0.11864406779661017</v>
      </c>
      <c r="I54" s="3">
        <f t="shared" si="6"/>
        <v>0.55932203389830504</v>
      </c>
    </row>
    <row r="55" spans="1:9" x14ac:dyDescent="0.3">
      <c r="A55" t="s">
        <v>143</v>
      </c>
      <c r="B55" t="s">
        <v>527</v>
      </c>
      <c r="C55">
        <v>57</v>
      </c>
      <c r="D55">
        <v>0</v>
      </c>
      <c r="E55">
        <v>3</v>
      </c>
      <c r="F55">
        <f t="shared" si="3"/>
        <v>60</v>
      </c>
      <c r="G55" s="3">
        <f t="shared" si="4"/>
        <v>0.95</v>
      </c>
      <c r="H55" s="3">
        <f t="shared" si="5"/>
        <v>0</v>
      </c>
      <c r="I55" s="3">
        <f t="shared" si="6"/>
        <v>0.05</v>
      </c>
    </row>
    <row r="56" spans="1:9" x14ac:dyDescent="0.3">
      <c r="A56" t="s">
        <v>143</v>
      </c>
      <c r="B56" t="s">
        <v>528</v>
      </c>
      <c r="C56">
        <v>9</v>
      </c>
      <c r="D56">
        <v>0</v>
      </c>
      <c r="E56">
        <v>0</v>
      </c>
      <c r="F56">
        <f t="shared" si="3"/>
        <v>9</v>
      </c>
      <c r="G56" s="3">
        <f t="shared" si="4"/>
        <v>1</v>
      </c>
      <c r="H56" s="3">
        <f t="shared" si="5"/>
        <v>0</v>
      </c>
      <c r="I56" s="3">
        <f t="shared" si="6"/>
        <v>0</v>
      </c>
    </row>
    <row r="57" spans="1:9" x14ac:dyDescent="0.3">
      <c r="A57" t="s">
        <v>163</v>
      </c>
      <c r="B57" t="s">
        <v>517</v>
      </c>
      <c r="C57">
        <v>38</v>
      </c>
      <c r="D57">
        <v>6</v>
      </c>
      <c r="E57">
        <v>21</v>
      </c>
      <c r="F57">
        <f t="shared" si="3"/>
        <v>65</v>
      </c>
      <c r="G57" s="3">
        <f t="shared" si="4"/>
        <v>0.58461538461538465</v>
      </c>
      <c r="H57" s="3">
        <f t="shared" si="5"/>
        <v>9.2307692307692313E-2</v>
      </c>
      <c r="I57" s="3">
        <f t="shared" si="6"/>
        <v>0.32307692307692309</v>
      </c>
    </row>
    <row r="58" spans="1:9" x14ac:dyDescent="0.3">
      <c r="A58" t="s">
        <v>163</v>
      </c>
      <c r="B58" t="s">
        <v>518</v>
      </c>
      <c r="C58">
        <v>89</v>
      </c>
      <c r="D58">
        <v>8</v>
      </c>
      <c r="E58">
        <v>6</v>
      </c>
      <c r="F58">
        <f t="shared" si="3"/>
        <v>103</v>
      </c>
      <c r="G58" s="3">
        <f t="shared" si="4"/>
        <v>0.86407766990291257</v>
      </c>
      <c r="H58" s="3">
        <f t="shared" si="5"/>
        <v>7.7669902912621352E-2</v>
      </c>
      <c r="I58" s="3">
        <f t="shared" si="6"/>
        <v>5.8252427184466021E-2</v>
      </c>
    </row>
    <row r="59" spans="1:9" x14ac:dyDescent="0.3">
      <c r="A59" t="s">
        <v>163</v>
      </c>
      <c r="B59" t="s">
        <v>510</v>
      </c>
      <c r="C59">
        <v>53</v>
      </c>
      <c r="D59">
        <v>18</v>
      </c>
      <c r="E59">
        <v>43</v>
      </c>
      <c r="F59">
        <f t="shared" si="3"/>
        <v>114</v>
      </c>
      <c r="G59" s="3">
        <f t="shared" si="4"/>
        <v>0.46491228070175439</v>
      </c>
      <c r="H59" s="3">
        <f t="shared" si="5"/>
        <v>0.15789473684210525</v>
      </c>
      <c r="I59" s="3">
        <f t="shared" si="6"/>
        <v>0.37719298245614036</v>
      </c>
    </row>
    <row r="60" spans="1:9" x14ac:dyDescent="0.3">
      <c r="A60" t="s">
        <v>163</v>
      </c>
      <c r="B60" t="s">
        <v>519</v>
      </c>
      <c r="C60">
        <v>70</v>
      </c>
      <c r="D60">
        <v>19</v>
      </c>
      <c r="E60">
        <v>8</v>
      </c>
      <c r="F60">
        <f t="shared" si="3"/>
        <v>97</v>
      </c>
      <c r="G60" s="3">
        <f t="shared" si="4"/>
        <v>0.72164948453608246</v>
      </c>
      <c r="H60" s="3">
        <f t="shared" si="5"/>
        <v>0.19587628865979381</v>
      </c>
      <c r="I60" s="3">
        <f t="shared" si="6"/>
        <v>8.247422680412371E-2</v>
      </c>
    </row>
    <row r="61" spans="1:9" x14ac:dyDescent="0.3">
      <c r="A61" t="s">
        <v>163</v>
      </c>
      <c r="B61" t="s">
        <v>520</v>
      </c>
      <c r="C61">
        <v>36</v>
      </c>
      <c r="D61">
        <v>9</v>
      </c>
      <c r="E61">
        <v>55</v>
      </c>
      <c r="F61">
        <f t="shared" si="3"/>
        <v>100</v>
      </c>
      <c r="G61" s="3">
        <f t="shared" si="4"/>
        <v>0.36</v>
      </c>
      <c r="H61" s="3">
        <f t="shared" si="5"/>
        <v>0.09</v>
      </c>
      <c r="I61" s="3">
        <f t="shared" si="6"/>
        <v>0.55000000000000004</v>
      </c>
    </row>
    <row r="62" spans="1:9" x14ac:dyDescent="0.3">
      <c r="A62" t="s">
        <v>163</v>
      </c>
      <c r="B62" t="s">
        <v>521</v>
      </c>
      <c r="C62">
        <v>60</v>
      </c>
      <c r="D62">
        <v>41</v>
      </c>
      <c r="E62">
        <v>28</v>
      </c>
      <c r="F62">
        <f t="shared" si="3"/>
        <v>129</v>
      </c>
      <c r="G62" s="3">
        <f t="shared" si="4"/>
        <v>0.46511627906976744</v>
      </c>
      <c r="H62" s="3">
        <f t="shared" si="5"/>
        <v>0.31782945736434109</v>
      </c>
      <c r="I62" s="3">
        <f t="shared" si="6"/>
        <v>0.21705426356589147</v>
      </c>
    </row>
    <row r="63" spans="1:9" x14ac:dyDescent="0.3">
      <c r="A63" t="s">
        <v>163</v>
      </c>
      <c r="B63" t="s">
        <v>522</v>
      </c>
      <c r="C63">
        <v>126</v>
      </c>
      <c r="D63">
        <v>10</v>
      </c>
      <c r="E63">
        <v>1</v>
      </c>
      <c r="F63">
        <f t="shared" si="3"/>
        <v>137</v>
      </c>
      <c r="G63" s="3">
        <f t="shared" si="4"/>
        <v>0.91970802919708028</v>
      </c>
      <c r="H63" s="3">
        <f t="shared" si="5"/>
        <v>7.2992700729927001E-2</v>
      </c>
      <c r="I63" s="3">
        <f t="shared" si="6"/>
        <v>7.2992700729927005E-3</v>
      </c>
    </row>
    <row r="64" spans="1:9" x14ac:dyDescent="0.3">
      <c r="A64" t="s">
        <v>163</v>
      </c>
      <c r="B64" t="s">
        <v>523</v>
      </c>
      <c r="C64">
        <v>3</v>
      </c>
      <c r="D64">
        <v>3</v>
      </c>
      <c r="E64">
        <v>25</v>
      </c>
      <c r="F64">
        <f t="shared" si="3"/>
        <v>31</v>
      </c>
      <c r="G64" s="3">
        <f t="shared" si="4"/>
        <v>9.6774193548387094E-2</v>
      </c>
      <c r="H64" s="3">
        <f t="shared" si="5"/>
        <v>9.6774193548387094E-2</v>
      </c>
      <c r="I64" s="3">
        <f t="shared" si="6"/>
        <v>0.80645161290322576</v>
      </c>
    </row>
    <row r="65" spans="1:9" x14ac:dyDescent="0.3">
      <c r="A65" t="s">
        <v>163</v>
      </c>
      <c r="B65" t="s">
        <v>524</v>
      </c>
      <c r="C65">
        <v>36</v>
      </c>
      <c r="D65">
        <v>17</v>
      </c>
      <c r="E65">
        <v>45</v>
      </c>
      <c r="F65">
        <f t="shared" si="3"/>
        <v>98</v>
      </c>
      <c r="G65" s="3">
        <f t="shared" si="4"/>
        <v>0.36734693877551022</v>
      </c>
      <c r="H65" s="3">
        <f t="shared" si="5"/>
        <v>0.17346938775510204</v>
      </c>
      <c r="I65" s="3">
        <f t="shared" si="6"/>
        <v>0.45918367346938777</v>
      </c>
    </row>
    <row r="66" spans="1:9" x14ac:dyDescent="0.3">
      <c r="A66" t="s">
        <v>163</v>
      </c>
      <c r="B66" t="s">
        <v>527</v>
      </c>
      <c r="C66">
        <v>90</v>
      </c>
      <c r="D66">
        <v>2</v>
      </c>
      <c r="E66">
        <v>8</v>
      </c>
      <c r="F66">
        <f t="shared" si="3"/>
        <v>100</v>
      </c>
      <c r="G66" s="3">
        <f t="shared" si="4"/>
        <v>0.9</v>
      </c>
      <c r="H66" s="3">
        <f t="shared" si="5"/>
        <v>0.02</v>
      </c>
      <c r="I66" s="3">
        <f t="shared" si="6"/>
        <v>0.08</v>
      </c>
    </row>
    <row r="67" spans="1:9" x14ac:dyDescent="0.3">
      <c r="A67" t="s">
        <v>163</v>
      </c>
      <c r="B67" t="s">
        <v>528</v>
      </c>
      <c r="C67">
        <v>20</v>
      </c>
      <c r="D67">
        <v>2</v>
      </c>
      <c r="E67">
        <v>4</v>
      </c>
      <c r="F67">
        <f t="shared" ref="F67:F130" si="7">SUM(C67:E67)</f>
        <v>26</v>
      </c>
      <c r="G67" s="3">
        <f t="shared" ref="G67:G130" si="8">C67/$F67</f>
        <v>0.76923076923076927</v>
      </c>
      <c r="H67" s="3">
        <f t="shared" ref="H67:H130" si="9">D67/$F67</f>
        <v>7.6923076923076927E-2</v>
      </c>
      <c r="I67" s="3">
        <f t="shared" ref="I67:I130" si="10">E67/$F67</f>
        <v>0.15384615384615385</v>
      </c>
    </row>
    <row r="68" spans="1:9" x14ac:dyDescent="0.3">
      <c r="A68" t="s">
        <v>191</v>
      </c>
      <c r="B68" t="s">
        <v>517</v>
      </c>
      <c r="C68">
        <v>674</v>
      </c>
      <c r="D68">
        <v>250</v>
      </c>
      <c r="E68">
        <v>306</v>
      </c>
      <c r="F68">
        <f t="shared" si="7"/>
        <v>1230</v>
      </c>
      <c r="G68" s="3">
        <f t="shared" si="8"/>
        <v>0.54796747967479675</v>
      </c>
      <c r="H68" s="3">
        <f t="shared" si="9"/>
        <v>0.2032520325203252</v>
      </c>
      <c r="I68" s="3">
        <f t="shared" si="10"/>
        <v>0.24878048780487805</v>
      </c>
    </row>
    <row r="69" spans="1:9" x14ac:dyDescent="0.3">
      <c r="A69" t="s">
        <v>191</v>
      </c>
      <c r="B69" t="s">
        <v>518</v>
      </c>
      <c r="C69">
        <v>1298</v>
      </c>
      <c r="D69">
        <v>128</v>
      </c>
      <c r="E69">
        <v>56</v>
      </c>
      <c r="F69">
        <f t="shared" si="7"/>
        <v>1482</v>
      </c>
      <c r="G69" s="3">
        <f t="shared" si="8"/>
        <v>0.87584345479082326</v>
      </c>
      <c r="H69" s="3">
        <f t="shared" si="9"/>
        <v>8.6369770580296892E-2</v>
      </c>
      <c r="I69" s="3">
        <f t="shared" si="10"/>
        <v>3.7786774628879895E-2</v>
      </c>
    </row>
    <row r="70" spans="1:9" x14ac:dyDescent="0.3">
      <c r="A70" t="s">
        <v>191</v>
      </c>
      <c r="B70" t="s">
        <v>510</v>
      </c>
      <c r="C70">
        <v>854</v>
      </c>
      <c r="D70">
        <v>441</v>
      </c>
      <c r="E70">
        <v>598</v>
      </c>
      <c r="F70">
        <f t="shared" si="7"/>
        <v>1893</v>
      </c>
      <c r="G70" s="3">
        <f t="shared" si="8"/>
        <v>0.45113576333861594</v>
      </c>
      <c r="H70" s="3">
        <f t="shared" si="9"/>
        <v>0.23296354992076071</v>
      </c>
      <c r="I70" s="3">
        <f t="shared" si="10"/>
        <v>0.31590068674062333</v>
      </c>
    </row>
    <row r="71" spans="1:9" x14ac:dyDescent="0.3">
      <c r="A71" t="s">
        <v>191</v>
      </c>
      <c r="B71" t="s">
        <v>519</v>
      </c>
      <c r="C71">
        <v>977</v>
      </c>
      <c r="D71">
        <v>233</v>
      </c>
      <c r="E71">
        <v>112</v>
      </c>
      <c r="F71">
        <f t="shared" si="7"/>
        <v>1322</v>
      </c>
      <c r="G71" s="3">
        <f t="shared" si="8"/>
        <v>0.73903177004538578</v>
      </c>
      <c r="H71" s="3">
        <f t="shared" si="9"/>
        <v>0.1762481089258699</v>
      </c>
      <c r="I71" s="3">
        <f t="shared" si="10"/>
        <v>8.4720121028744322E-2</v>
      </c>
    </row>
    <row r="72" spans="1:9" x14ac:dyDescent="0.3">
      <c r="A72" t="s">
        <v>191</v>
      </c>
      <c r="B72" t="s">
        <v>520</v>
      </c>
      <c r="C72">
        <v>555</v>
      </c>
      <c r="D72">
        <v>177</v>
      </c>
      <c r="E72">
        <v>735</v>
      </c>
      <c r="F72">
        <f t="shared" si="7"/>
        <v>1467</v>
      </c>
      <c r="G72" s="3">
        <f t="shared" si="8"/>
        <v>0.3783231083844581</v>
      </c>
      <c r="H72" s="3">
        <f t="shared" si="9"/>
        <v>0.12065439672801637</v>
      </c>
      <c r="I72" s="3">
        <f t="shared" si="10"/>
        <v>0.50102249488752559</v>
      </c>
    </row>
    <row r="73" spans="1:9" x14ac:dyDescent="0.3">
      <c r="A73" t="s">
        <v>191</v>
      </c>
      <c r="B73" t="s">
        <v>521</v>
      </c>
      <c r="C73">
        <v>860</v>
      </c>
      <c r="D73">
        <v>455</v>
      </c>
      <c r="E73">
        <v>248</v>
      </c>
      <c r="F73">
        <f t="shared" si="7"/>
        <v>1563</v>
      </c>
      <c r="G73" s="3">
        <f t="shared" si="8"/>
        <v>0.55022392834293021</v>
      </c>
      <c r="H73" s="3">
        <f t="shared" si="9"/>
        <v>0.29110684580934099</v>
      </c>
      <c r="I73" s="3">
        <f t="shared" si="10"/>
        <v>0.15866922584772872</v>
      </c>
    </row>
    <row r="74" spans="1:9" x14ac:dyDescent="0.3">
      <c r="A74" t="s">
        <v>191</v>
      </c>
      <c r="B74" t="s">
        <v>522</v>
      </c>
      <c r="C74">
        <v>1679</v>
      </c>
      <c r="D74">
        <v>100</v>
      </c>
      <c r="E74">
        <v>49</v>
      </c>
      <c r="F74">
        <f t="shared" si="7"/>
        <v>1828</v>
      </c>
      <c r="G74" s="3">
        <f t="shared" si="8"/>
        <v>0.91849015317286653</v>
      </c>
      <c r="H74" s="3">
        <f t="shared" si="9"/>
        <v>5.4704595185995623E-2</v>
      </c>
      <c r="I74" s="3">
        <f t="shared" si="10"/>
        <v>2.6805251641137857E-2</v>
      </c>
    </row>
    <row r="75" spans="1:9" x14ac:dyDescent="0.3">
      <c r="A75" t="s">
        <v>191</v>
      </c>
      <c r="B75" t="s">
        <v>523</v>
      </c>
      <c r="C75">
        <v>119</v>
      </c>
      <c r="D75">
        <v>61</v>
      </c>
      <c r="E75">
        <v>260</v>
      </c>
      <c r="F75">
        <f t="shared" si="7"/>
        <v>440</v>
      </c>
      <c r="G75" s="3">
        <f t="shared" si="8"/>
        <v>0.27045454545454545</v>
      </c>
      <c r="H75" s="3">
        <f t="shared" si="9"/>
        <v>0.13863636363636364</v>
      </c>
      <c r="I75" s="3">
        <f t="shared" si="10"/>
        <v>0.59090909090909094</v>
      </c>
    </row>
    <row r="76" spans="1:9" x14ac:dyDescent="0.3">
      <c r="A76" t="s">
        <v>191</v>
      </c>
      <c r="B76" t="s">
        <v>524</v>
      </c>
      <c r="C76">
        <v>626</v>
      </c>
      <c r="D76">
        <v>149</v>
      </c>
      <c r="E76">
        <v>591</v>
      </c>
      <c r="F76">
        <f t="shared" si="7"/>
        <v>1366</v>
      </c>
      <c r="G76" s="3">
        <f t="shared" si="8"/>
        <v>0.45827232796486089</v>
      </c>
      <c r="H76" s="3">
        <f t="shared" si="9"/>
        <v>0.10907759882869693</v>
      </c>
      <c r="I76" s="3">
        <f t="shared" si="10"/>
        <v>0.43265007320644217</v>
      </c>
    </row>
    <row r="77" spans="1:9" x14ac:dyDescent="0.3">
      <c r="A77" t="s">
        <v>191</v>
      </c>
      <c r="B77" t="s">
        <v>527</v>
      </c>
      <c r="C77">
        <v>1301</v>
      </c>
      <c r="D77">
        <v>52</v>
      </c>
      <c r="E77">
        <v>78</v>
      </c>
      <c r="F77">
        <f t="shared" si="7"/>
        <v>1431</v>
      </c>
      <c r="G77" s="3">
        <f t="shared" si="8"/>
        <v>0.90915443745632429</v>
      </c>
      <c r="H77" s="3">
        <f t="shared" si="9"/>
        <v>3.6338225017470298E-2</v>
      </c>
      <c r="I77" s="3">
        <f t="shared" si="10"/>
        <v>5.450733752620545E-2</v>
      </c>
    </row>
    <row r="78" spans="1:9" x14ac:dyDescent="0.3">
      <c r="A78" t="s">
        <v>191</v>
      </c>
      <c r="B78" t="s">
        <v>528</v>
      </c>
      <c r="C78">
        <v>575</v>
      </c>
      <c r="D78">
        <v>86</v>
      </c>
      <c r="E78">
        <v>53</v>
      </c>
      <c r="F78">
        <f t="shared" si="7"/>
        <v>714</v>
      </c>
      <c r="G78" s="3">
        <f t="shared" si="8"/>
        <v>0.80532212885154064</v>
      </c>
      <c r="H78" s="3">
        <f t="shared" si="9"/>
        <v>0.12044817927170869</v>
      </c>
      <c r="I78" s="3">
        <f t="shared" si="10"/>
        <v>7.42296918767507E-2</v>
      </c>
    </row>
    <row r="79" spans="1:9" x14ac:dyDescent="0.3">
      <c r="A79" t="s">
        <v>253</v>
      </c>
      <c r="B79" t="s">
        <v>517</v>
      </c>
      <c r="C79">
        <v>41</v>
      </c>
      <c r="D79">
        <v>12</v>
      </c>
      <c r="E79">
        <v>9</v>
      </c>
      <c r="F79">
        <f t="shared" si="7"/>
        <v>62</v>
      </c>
      <c r="G79" s="3">
        <f t="shared" si="8"/>
        <v>0.66129032258064513</v>
      </c>
      <c r="H79" s="3">
        <f t="shared" si="9"/>
        <v>0.19354838709677419</v>
      </c>
      <c r="I79" s="3">
        <f t="shared" si="10"/>
        <v>0.14516129032258066</v>
      </c>
    </row>
    <row r="80" spans="1:9" x14ac:dyDescent="0.3">
      <c r="A80" t="s">
        <v>253</v>
      </c>
      <c r="B80" t="s">
        <v>518</v>
      </c>
      <c r="C80">
        <v>115</v>
      </c>
      <c r="D80">
        <v>9</v>
      </c>
      <c r="E80">
        <v>7</v>
      </c>
      <c r="F80">
        <f t="shared" si="7"/>
        <v>131</v>
      </c>
      <c r="G80" s="3">
        <f t="shared" si="8"/>
        <v>0.87786259541984735</v>
      </c>
      <c r="H80" s="3">
        <f t="shared" si="9"/>
        <v>6.8702290076335881E-2</v>
      </c>
      <c r="I80" s="3">
        <f t="shared" si="10"/>
        <v>5.3435114503816793E-2</v>
      </c>
    </row>
    <row r="81" spans="1:9" x14ac:dyDescent="0.3">
      <c r="A81" t="s">
        <v>253</v>
      </c>
      <c r="B81" t="s">
        <v>510</v>
      </c>
      <c r="C81">
        <v>79</v>
      </c>
      <c r="D81">
        <v>32</v>
      </c>
      <c r="E81">
        <v>33</v>
      </c>
      <c r="F81">
        <f t="shared" si="7"/>
        <v>144</v>
      </c>
      <c r="G81" s="3">
        <f t="shared" si="8"/>
        <v>0.54861111111111116</v>
      </c>
      <c r="H81" s="3">
        <f t="shared" si="9"/>
        <v>0.22222222222222221</v>
      </c>
      <c r="I81" s="3">
        <f t="shared" si="10"/>
        <v>0.22916666666666666</v>
      </c>
    </row>
    <row r="82" spans="1:9" x14ac:dyDescent="0.3">
      <c r="A82" t="s">
        <v>253</v>
      </c>
      <c r="B82" t="s">
        <v>519</v>
      </c>
      <c r="C82">
        <v>86</v>
      </c>
      <c r="D82">
        <v>28</v>
      </c>
      <c r="E82">
        <v>2</v>
      </c>
      <c r="F82">
        <f t="shared" si="7"/>
        <v>116</v>
      </c>
      <c r="G82" s="3">
        <f t="shared" si="8"/>
        <v>0.74137931034482762</v>
      </c>
      <c r="H82" s="3">
        <f t="shared" si="9"/>
        <v>0.2413793103448276</v>
      </c>
      <c r="I82" s="3">
        <f t="shared" si="10"/>
        <v>1.7241379310344827E-2</v>
      </c>
    </row>
    <row r="83" spans="1:9" x14ac:dyDescent="0.3">
      <c r="A83" t="s">
        <v>253</v>
      </c>
      <c r="B83" t="s">
        <v>520</v>
      </c>
      <c r="C83">
        <v>43</v>
      </c>
      <c r="D83">
        <v>12</v>
      </c>
      <c r="E83">
        <v>69</v>
      </c>
      <c r="F83">
        <f t="shared" si="7"/>
        <v>124</v>
      </c>
      <c r="G83" s="3">
        <f t="shared" si="8"/>
        <v>0.34677419354838712</v>
      </c>
      <c r="H83" s="3">
        <f t="shared" si="9"/>
        <v>9.6774193548387094E-2</v>
      </c>
      <c r="I83" s="3">
        <f t="shared" si="10"/>
        <v>0.55645161290322576</v>
      </c>
    </row>
    <row r="84" spans="1:9" x14ac:dyDescent="0.3">
      <c r="A84" t="s">
        <v>253</v>
      </c>
      <c r="B84" t="s">
        <v>521</v>
      </c>
      <c r="C84">
        <v>107</v>
      </c>
      <c r="D84">
        <v>38</v>
      </c>
      <c r="E84">
        <v>49</v>
      </c>
      <c r="F84">
        <f t="shared" si="7"/>
        <v>194</v>
      </c>
      <c r="G84" s="3">
        <f t="shared" si="8"/>
        <v>0.55154639175257736</v>
      </c>
      <c r="H84" s="3">
        <f t="shared" si="9"/>
        <v>0.19587628865979381</v>
      </c>
      <c r="I84" s="3">
        <f t="shared" si="10"/>
        <v>0.25257731958762886</v>
      </c>
    </row>
    <row r="85" spans="1:9" x14ac:dyDescent="0.3">
      <c r="A85" t="s">
        <v>253</v>
      </c>
      <c r="B85" t="s">
        <v>522</v>
      </c>
      <c r="C85">
        <v>189</v>
      </c>
      <c r="D85">
        <v>13</v>
      </c>
      <c r="E85">
        <v>3</v>
      </c>
      <c r="F85">
        <f t="shared" si="7"/>
        <v>205</v>
      </c>
      <c r="G85" s="3">
        <f t="shared" si="8"/>
        <v>0.92195121951219516</v>
      </c>
      <c r="H85" s="3">
        <f t="shared" si="9"/>
        <v>6.3414634146341464E-2</v>
      </c>
      <c r="I85" s="3">
        <f t="shared" si="10"/>
        <v>1.4634146341463415E-2</v>
      </c>
    </row>
    <row r="86" spans="1:9" x14ac:dyDescent="0.3">
      <c r="A86" t="s">
        <v>253</v>
      </c>
      <c r="B86" t="s">
        <v>523</v>
      </c>
      <c r="C86">
        <v>5</v>
      </c>
      <c r="D86">
        <v>3</v>
      </c>
      <c r="E86">
        <v>13</v>
      </c>
      <c r="F86">
        <f t="shared" si="7"/>
        <v>21</v>
      </c>
      <c r="G86" s="3">
        <f t="shared" si="8"/>
        <v>0.23809523809523808</v>
      </c>
      <c r="H86" s="3">
        <f t="shared" si="9"/>
        <v>0.14285714285714285</v>
      </c>
      <c r="I86" s="3">
        <f t="shared" si="10"/>
        <v>0.61904761904761907</v>
      </c>
    </row>
    <row r="87" spans="1:9" x14ac:dyDescent="0.3">
      <c r="A87" t="s">
        <v>253</v>
      </c>
      <c r="B87" t="s">
        <v>524</v>
      </c>
      <c r="C87">
        <v>61</v>
      </c>
      <c r="D87">
        <v>9</v>
      </c>
      <c r="E87">
        <v>48</v>
      </c>
      <c r="F87">
        <f t="shared" si="7"/>
        <v>118</v>
      </c>
      <c r="G87" s="3">
        <f t="shared" si="8"/>
        <v>0.51694915254237284</v>
      </c>
      <c r="H87" s="3">
        <f t="shared" si="9"/>
        <v>7.6271186440677971E-2</v>
      </c>
      <c r="I87" s="3">
        <f t="shared" si="10"/>
        <v>0.40677966101694918</v>
      </c>
    </row>
    <row r="88" spans="1:9" x14ac:dyDescent="0.3">
      <c r="A88" t="s">
        <v>253</v>
      </c>
      <c r="B88" t="s">
        <v>527</v>
      </c>
      <c r="C88">
        <v>113</v>
      </c>
      <c r="D88">
        <v>2</v>
      </c>
      <c r="E88">
        <v>3</v>
      </c>
      <c r="F88">
        <f t="shared" si="7"/>
        <v>118</v>
      </c>
      <c r="G88" s="3">
        <f t="shared" si="8"/>
        <v>0.9576271186440678</v>
      </c>
      <c r="H88" s="3">
        <f t="shared" si="9"/>
        <v>1.6949152542372881E-2</v>
      </c>
      <c r="I88" s="3">
        <f t="shared" si="10"/>
        <v>2.5423728813559324E-2</v>
      </c>
    </row>
    <row r="89" spans="1:9" x14ac:dyDescent="0.3">
      <c r="A89" t="s">
        <v>253</v>
      </c>
      <c r="B89" t="s">
        <v>528</v>
      </c>
      <c r="C89">
        <v>48</v>
      </c>
      <c r="D89">
        <v>5</v>
      </c>
      <c r="E89">
        <v>3</v>
      </c>
      <c r="F89">
        <f t="shared" si="7"/>
        <v>56</v>
      </c>
      <c r="G89" s="3">
        <f t="shared" si="8"/>
        <v>0.8571428571428571</v>
      </c>
      <c r="H89" s="3">
        <f t="shared" si="9"/>
        <v>8.9285714285714288E-2</v>
      </c>
      <c r="I89" s="3">
        <f t="shared" si="10"/>
        <v>5.3571428571428568E-2</v>
      </c>
    </row>
    <row r="90" spans="1:9" x14ac:dyDescent="0.3">
      <c r="A90" t="s">
        <v>333</v>
      </c>
      <c r="B90" t="s">
        <v>517</v>
      </c>
      <c r="C90">
        <v>21</v>
      </c>
      <c r="D90">
        <v>8</v>
      </c>
      <c r="E90">
        <v>9</v>
      </c>
      <c r="F90">
        <f t="shared" si="7"/>
        <v>38</v>
      </c>
      <c r="G90" s="3">
        <f t="shared" si="8"/>
        <v>0.55263157894736847</v>
      </c>
      <c r="H90" s="3">
        <f t="shared" si="9"/>
        <v>0.21052631578947367</v>
      </c>
      <c r="I90" s="3">
        <f t="shared" si="10"/>
        <v>0.23684210526315788</v>
      </c>
    </row>
    <row r="91" spans="1:9" x14ac:dyDescent="0.3">
      <c r="A91" t="s">
        <v>333</v>
      </c>
      <c r="B91" t="s">
        <v>518</v>
      </c>
      <c r="C91">
        <v>50</v>
      </c>
      <c r="D91">
        <v>2</v>
      </c>
      <c r="E91">
        <v>3</v>
      </c>
      <c r="F91">
        <f t="shared" si="7"/>
        <v>55</v>
      </c>
      <c r="G91" s="3">
        <f t="shared" si="8"/>
        <v>0.90909090909090906</v>
      </c>
      <c r="H91" s="3">
        <f t="shared" si="9"/>
        <v>3.6363636363636362E-2</v>
      </c>
      <c r="I91" s="3">
        <f t="shared" si="10"/>
        <v>5.4545454545454543E-2</v>
      </c>
    </row>
    <row r="92" spans="1:9" x14ac:dyDescent="0.3">
      <c r="A92" t="s">
        <v>333</v>
      </c>
      <c r="B92" t="s">
        <v>510</v>
      </c>
      <c r="C92">
        <v>11</v>
      </c>
      <c r="D92">
        <v>8</v>
      </c>
      <c r="E92">
        <v>38</v>
      </c>
      <c r="F92">
        <f t="shared" si="7"/>
        <v>57</v>
      </c>
      <c r="G92" s="3">
        <f t="shared" si="8"/>
        <v>0.19298245614035087</v>
      </c>
      <c r="H92" s="3">
        <f t="shared" si="9"/>
        <v>0.14035087719298245</v>
      </c>
      <c r="I92" s="3">
        <f t="shared" si="10"/>
        <v>0.66666666666666663</v>
      </c>
    </row>
    <row r="93" spans="1:9" x14ac:dyDescent="0.3">
      <c r="A93" t="s">
        <v>333</v>
      </c>
      <c r="B93" t="s">
        <v>519</v>
      </c>
      <c r="C93">
        <v>39</v>
      </c>
      <c r="D93">
        <v>6</v>
      </c>
      <c r="E93">
        <v>2</v>
      </c>
      <c r="F93">
        <f t="shared" si="7"/>
        <v>47</v>
      </c>
      <c r="G93" s="3">
        <f t="shared" si="8"/>
        <v>0.82978723404255317</v>
      </c>
      <c r="H93" s="3">
        <f t="shared" si="9"/>
        <v>0.1276595744680851</v>
      </c>
      <c r="I93" s="3">
        <f t="shared" si="10"/>
        <v>4.2553191489361701E-2</v>
      </c>
    </row>
    <row r="94" spans="1:9" x14ac:dyDescent="0.3">
      <c r="A94" t="s">
        <v>333</v>
      </c>
      <c r="B94" t="s">
        <v>520</v>
      </c>
      <c r="C94">
        <v>10</v>
      </c>
      <c r="D94">
        <v>0</v>
      </c>
      <c r="E94">
        <v>42</v>
      </c>
      <c r="F94">
        <f t="shared" si="7"/>
        <v>52</v>
      </c>
      <c r="G94" s="3">
        <f t="shared" si="8"/>
        <v>0.19230769230769232</v>
      </c>
      <c r="H94" s="3">
        <f t="shared" si="9"/>
        <v>0</v>
      </c>
      <c r="I94" s="3">
        <f t="shared" si="10"/>
        <v>0.80769230769230771</v>
      </c>
    </row>
    <row r="95" spans="1:9" x14ac:dyDescent="0.3">
      <c r="A95" t="s">
        <v>333</v>
      </c>
      <c r="B95" t="s">
        <v>521</v>
      </c>
      <c r="C95">
        <v>34</v>
      </c>
      <c r="D95">
        <v>29</v>
      </c>
      <c r="E95">
        <v>17</v>
      </c>
      <c r="F95">
        <f t="shared" si="7"/>
        <v>80</v>
      </c>
      <c r="G95" s="3">
        <f t="shared" si="8"/>
        <v>0.42499999999999999</v>
      </c>
      <c r="H95" s="3">
        <f t="shared" si="9"/>
        <v>0.36249999999999999</v>
      </c>
      <c r="I95" s="3">
        <f t="shared" si="10"/>
        <v>0.21249999999999999</v>
      </c>
    </row>
    <row r="96" spans="1:9" x14ac:dyDescent="0.3">
      <c r="A96" t="s">
        <v>333</v>
      </c>
      <c r="B96" t="s">
        <v>522</v>
      </c>
      <c r="C96">
        <v>76</v>
      </c>
      <c r="D96">
        <v>5</v>
      </c>
      <c r="E96">
        <v>1</v>
      </c>
      <c r="F96">
        <f t="shared" si="7"/>
        <v>82</v>
      </c>
      <c r="G96" s="3">
        <f t="shared" si="8"/>
        <v>0.92682926829268297</v>
      </c>
      <c r="H96" s="3">
        <f t="shared" si="9"/>
        <v>6.097560975609756E-2</v>
      </c>
      <c r="I96" s="3">
        <f t="shared" si="10"/>
        <v>1.2195121951219513E-2</v>
      </c>
    </row>
    <row r="97" spans="1:9" x14ac:dyDescent="0.3">
      <c r="A97" t="s">
        <v>333</v>
      </c>
      <c r="B97" t="s">
        <v>523</v>
      </c>
      <c r="C97">
        <v>1</v>
      </c>
      <c r="D97">
        <v>2</v>
      </c>
      <c r="E97">
        <v>1</v>
      </c>
      <c r="F97">
        <f t="shared" si="7"/>
        <v>4</v>
      </c>
      <c r="G97" s="3">
        <f t="shared" si="8"/>
        <v>0.25</v>
      </c>
      <c r="H97" s="3">
        <f t="shared" si="9"/>
        <v>0.5</v>
      </c>
      <c r="I97" s="3">
        <f t="shared" si="10"/>
        <v>0.25</v>
      </c>
    </row>
    <row r="98" spans="1:9" x14ac:dyDescent="0.3">
      <c r="A98" t="s">
        <v>333</v>
      </c>
      <c r="B98" t="s">
        <v>524</v>
      </c>
      <c r="C98">
        <v>11</v>
      </c>
      <c r="D98">
        <v>0</v>
      </c>
      <c r="E98">
        <v>38</v>
      </c>
      <c r="F98">
        <f t="shared" si="7"/>
        <v>49</v>
      </c>
      <c r="G98" s="3">
        <f t="shared" si="8"/>
        <v>0.22448979591836735</v>
      </c>
      <c r="H98" s="3">
        <f t="shared" si="9"/>
        <v>0</v>
      </c>
      <c r="I98" s="3">
        <f t="shared" si="10"/>
        <v>0.77551020408163263</v>
      </c>
    </row>
    <row r="99" spans="1:9" x14ac:dyDescent="0.3">
      <c r="A99" t="s">
        <v>333</v>
      </c>
      <c r="B99" t="s">
        <v>527</v>
      </c>
      <c r="C99">
        <v>45</v>
      </c>
      <c r="D99">
        <v>7</v>
      </c>
      <c r="E99">
        <v>0</v>
      </c>
      <c r="F99">
        <f t="shared" si="7"/>
        <v>52</v>
      </c>
      <c r="G99" s="3">
        <f t="shared" si="8"/>
        <v>0.86538461538461542</v>
      </c>
      <c r="H99" s="3">
        <f t="shared" si="9"/>
        <v>0.13461538461538461</v>
      </c>
      <c r="I99" s="3">
        <f t="shared" si="10"/>
        <v>0</v>
      </c>
    </row>
    <row r="100" spans="1:9" x14ac:dyDescent="0.3">
      <c r="A100" t="s">
        <v>333</v>
      </c>
      <c r="B100" t="s">
        <v>528</v>
      </c>
      <c r="C100">
        <v>7</v>
      </c>
      <c r="D100">
        <v>2</v>
      </c>
      <c r="E100">
        <v>0</v>
      </c>
      <c r="F100">
        <f t="shared" si="7"/>
        <v>9</v>
      </c>
      <c r="G100" s="3">
        <f t="shared" si="8"/>
        <v>0.77777777777777779</v>
      </c>
      <c r="H100" s="3">
        <f t="shared" si="9"/>
        <v>0.22222222222222221</v>
      </c>
      <c r="I100" s="3">
        <f t="shared" si="10"/>
        <v>0</v>
      </c>
    </row>
    <row r="101" spans="1:9" x14ac:dyDescent="0.3">
      <c r="A101" t="s">
        <v>371</v>
      </c>
      <c r="B101" t="s">
        <v>517</v>
      </c>
      <c r="C101">
        <v>68</v>
      </c>
      <c r="D101">
        <v>36</v>
      </c>
      <c r="E101">
        <v>25</v>
      </c>
      <c r="F101">
        <f t="shared" si="7"/>
        <v>129</v>
      </c>
      <c r="G101" s="3">
        <f t="shared" si="8"/>
        <v>0.52713178294573648</v>
      </c>
      <c r="H101" s="3">
        <f t="shared" si="9"/>
        <v>0.27906976744186046</v>
      </c>
      <c r="I101" s="3">
        <f t="shared" si="10"/>
        <v>0.19379844961240311</v>
      </c>
    </row>
    <row r="102" spans="1:9" x14ac:dyDescent="0.3">
      <c r="A102" t="s">
        <v>371</v>
      </c>
      <c r="B102" t="s">
        <v>518</v>
      </c>
      <c r="C102">
        <v>145</v>
      </c>
      <c r="D102">
        <v>4</v>
      </c>
      <c r="E102">
        <v>0</v>
      </c>
      <c r="F102">
        <f t="shared" si="7"/>
        <v>149</v>
      </c>
      <c r="G102" s="3">
        <f t="shared" si="8"/>
        <v>0.97315436241610742</v>
      </c>
      <c r="H102" s="3">
        <f t="shared" si="9"/>
        <v>2.6845637583892617E-2</v>
      </c>
      <c r="I102" s="3">
        <f t="shared" si="10"/>
        <v>0</v>
      </c>
    </row>
    <row r="103" spans="1:9" x14ac:dyDescent="0.3">
      <c r="A103" t="s">
        <v>371</v>
      </c>
      <c r="B103" t="s">
        <v>510</v>
      </c>
      <c r="C103">
        <v>48</v>
      </c>
      <c r="D103">
        <v>18</v>
      </c>
      <c r="E103">
        <v>87</v>
      </c>
      <c r="F103">
        <f t="shared" si="7"/>
        <v>153</v>
      </c>
      <c r="G103" s="3">
        <f t="shared" si="8"/>
        <v>0.31372549019607843</v>
      </c>
      <c r="H103" s="3">
        <f t="shared" si="9"/>
        <v>0.11764705882352941</v>
      </c>
      <c r="I103" s="3">
        <f t="shared" si="10"/>
        <v>0.56862745098039214</v>
      </c>
    </row>
    <row r="104" spans="1:9" x14ac:dyDescent="0.3">
      <c r="A104" t="s">
        <v>371</v>
      </c>
      <c r="B104" t="s">
        <v>519</v>
      </c>
      <c r="C104">
        <v>81</v>
      </c>
      <c r="D104">
        <v>33</v>
      </c>
      <c r="E104">
        <v>21</v>
      </c>
      <c r="F104">
        <f t="shared" si="7"/>
        <v>135</v>
      </c>
      <c r="G104" s="3">
        <f t="shared" si="8"/>
        <v>0.6</v>
      </c>
      <c r="H104" s="3">
        <f t="shared" si="9"/>
        <v>0.24444444444444444</v>
      </c>
      <c r="I104" s="3">
        <f t="shared" si="10"/>
        <v>0.15555555555555556</v>
      </c>
    </row>
    <row r="105" spans="1:9" x14ac:dyDescent="0.3">
      <c r="A105" t="s">
        <v>371</v>
      </c>
      <c r="B105" t="s">
        <v>520</v>
      </c>
      <c r="C105">
        <v>30</v>
      </c>
      <c r="D105">
        <v>16</v>
      </c>
      <c r="E105">
        <v>96</v>
      </c>
      <c r="F105">
        <f t="shared" si="7"/>
        <v>142</v>
      </c>
      <c r="G105" s="3">
        <f t="shared" si="8"/>
        <v>0.21126760563380281</v>
      </c>
      <c r="H105" s="3">
        <f t="shared" si="9"/>
        <v>0.11267605633802817</v>
      </c>
      <c r="I105" s="3">
        <f t="shared" si="10"/>
        <v>0.676056338028169</v>
      </c>
    </row>
    <row r="106" spans="1:9" x14ac:dyDescent="0.3">
      <c r="A106" t="s">
        <v>371</v>
      </c>
      <c r="B106" t="s">
        <v>521</v>
      </c>
      <c r="C106">
        <v>78</v>
      </c>
      <c r="D106">
        <v>57</v>
      </c>
      <c r="E106">
        <v>14</v>
      </c>
      <c r="F106">
        <f t="shared" si="7"/>
        <v>149</v>
      </c>
      <c r="G106" s="3">
        <f t="shared" si="8"/>
        <v>0.52348993288590606</v>
      </c>
      <c r="H106" s="3">
        <f t="shared" si="9"/>
        <v>0.3825503355704698</v>
      </c>
      <c r="I106" s="3">
        <f t="shared" si="10"/>
        <v>9.3959731543624164E-2</v>
      </c>
    </row>
    <row r="107" spans="1:9" x14ac:dyDescent="0.3">
      <c r="A107" t="s">
        <v>371</v>
      </c>
      <c r="B107" t="s">
        <v>522</v>
      </c>
      <c r="C107">
        <v>151</v>
      </c>
      <c r="D107">
        <v>0</v>
      </c>
      <c r="E107">
        <v>1</v>
      </c>
      <c r="F107">
        <f t="shared" si="7"/>
        <v>152</v>
      </c>
      <c r="G107" s="3">
        <f t="shared" si="8"/>
        <v>0.99342105263157898</v>
      </c>
      <c r="H107" s="3">
        <f t="shared" si="9"/>
        <v>0</v>
      </c>
      <c r="I107" s="3">
        <f t="shared" si="10"/>
        <v>6.5789473684210523E-3</v>
      </c>
    </row>
    <row r="108" spans="1:9" x14ac:dyDescent="0.3">
      <c r="A108" t="s">
        <v>371</v>
      </c>
      <c r="B108" t="s">
        <v>523</v>
      </c>
      <c r="C108">
        <v>1</v>
      </c>
      <c r="D108">
        <v>1</v>
      </c>
      <c r="E108">
        <v>7</v>
      </c>
      <c r="F108">
        <f t="shared" si="7"/>
        <v>9</v>
      </c>
      <c r="G108" s="3">
        <f t="shared" si="8"/>
        <v>0.1111111111111111</v>
      </c>
      <c r="H108" s="3">
        <f t="shared" si="9"/>
        <v>0.1111111111111111</v>
      </c>
      <c r="I108" s="3">
        <f t="shared" si="10"/>
        <v>0.77777777777777779</v>
      </c>
    </row>
    <row r="109" spans="1:9" x14ac:dyDescent="0.3">
      <c r="A109" t="s">
        <v>371</v>
      </c>
      <c r="B109" t="s">
        <v>524</v>
      </c>
      <c r="C109">
        <v>54</v>
      </c>
      <c r="D109">
        <v>6</v>
      </c>
      <c r="E109">
        <v>77</v>
      </c>
      <c r="F109">
        <f t="shared" si="7"/>
        <v>137</v>
      </c>
      <c r="G109" s="3">
        <f t="shared" si="8"/>
        <v>0.39416058394160586</v>
      </c>
      <c r="H109" s="3">
        <f t="shared" si="9"/>
        <v>4.3795620437956206E-2</v>
      </c>
      <c r="I109" s="3">
        <f t="shared" si="10"/>
        <v>0.56204379562043794</v>
      </c>
    </row>
    <row r="110" spans="1:9" x14ac:dyDescent="0.3">
      <c r="A110" t="s">
        <v>371</v>
      </c>
      <c r="B110" t="s">
        <v>527</v>
      </c>
      <c r="C110">
        <v>139</v>
      </c>
      <c r="D110">
        <v>1</v>
      </c>
      <c r="E110">
        <v>2</v>
      </c>
      <c r="F110">
        <f t="shared" si="7"/>
        <v>142</v>
      </c>
      <c r="G110" s="3">
        <f t="shared" si="8"/>
        <v>0.97887323943661975</v>
      </c>
      <c r="H110" s="3">
        <f t="shared" si="9"/>
        <v>7.0422535211267607E-3</v>
      </c>
      <c r="I110" s="3">
        <f t="shared" si="10"/>
        <v>1.4084507042253521E-2</v>
      </c>
    </row>
    <row r="111" spans="1:9" x14ac:dyDescent="0.3">
      <c r="A111" t="s">
        <v>371</v>
      </c>
      <c r="B111" t="s">
        <v>528</v>
      </c>
      <c r="C111">
        <v>13</v>
      </c>
      <c r="D111">
        <v>1</v>
      </c>
      <c r="E111">
        <v>0</v>
      </c>
      <c r="F111">
        <f t="shared" si="7"/>
        <v>14</v>
      </c>
      <c r="G111" s="3">
        <f t="shared" si="8"/>
        <v>0.9285714285714286</v>
      </c>
      <c r="H111" s="3">
        <f t="shared" si="9"/>
        <v>7.1428571428571425E-2</v>
      </c>
      <c r="I111" s="3">
        <f t="shared" si="10"/>
        <v>0</v>
      </c>
    </row>
    <row r="112" spans="1:9" x14ac:dyDescent="0.3">
      <c r="A112" t="s">
        <v>402</v>
      </c>
      <c r="B112" t="s">
        <v>517</v>
      </c>
      <c r="C112">
        <v>20</v>
      </c>
      <c r="D112">
        <v>4</v>
      </c>
      <c r="E112">
        <v>4</v>
      </c>
      <c r="F112">
        <f t="shared" si="7"/>
        <v>28</v>
      </c>
      <c r="G112" s="3">
        <f t="shared" si="8"/>
        <v>0.7142857142857143</v>
      </c>
      <c r="H112" s="3">
        <f t="shared" si="9"/>
        <v>0.14285714285714285</v>
      </c>
      <c r="I112" s="3">
        <f t="shared" si="10"/>
        <v>0.14285714285714285</v>
      </c>
    </row>
    <row r="113" spans="1:9" x14ac:dyDescent="0.3">
      <c r="A113" t="s">
        <v>402</v>
      </c>
      <c r="B113" t="s">
        <v>518</v>
      </c>
      <c r="C113">
        <v>39</v>
      </c>
      <c r="D113">
        <v>3</v>
      </c>
      <c r="E113">
        <v>0</v>
      </c>
      <c r="F113">
        <f t="shared" si="7"/>
        <v>42</v>
      </c>
      <c r="G113" s="3">
        <f t="shared" si="8"/>
        <v>0.9285714285714286</v>
      </c>
      <c r="H113" s="3">
        <f t="shared" si="9"/>
        <v>7.1428571428571425E-2</v>
      </c>
      <c r="I113" s="3">
        <f t="shared" si="10"/>
        <v>0</v>
      </c>
    </row>
    <row r="114" spans="1:9" x14ac:dyDescent="0.3">
      <c r="A114" t="s">
        <v>402</v>
      </c>
      <c r="B114" t="s">
        <v>510</v>
      </c>
      <c r="C114">
        <v>16</v>
      </c>
      <c r="D114">
        <v>15</v>
      </c>
      <c r="E114">
        <v>15</v>
      </c>
      <c r="F114">
        <f t="shared" si="7"/>
        <v>46</v>
      </c>
      <c r="G114" s="3">
        <f t="shared" si="8"/>
        <v>0.34782608695652173</v>
      </c>
      <c r="H114" s="3">
        <f t="shared" si="9"/>
        <v>0.32608695652173914</v>
      </c>
      <c r="I114" s="3">
        <f t="shared" si="10"/>
        <v>0.32608695652173914</v>
      </c>
    </row>
    <row r="115" spans="1:9" x14ac:dyDescent="0.3">
      <c r="A115" t="s">
        <v>402</v>
      </c>
      <c r="B115" t="s">
        <v>519</v>
      </c>
      <c r="C115">
        <v>30</v>
      </c>
      <c r="D115">
        <v>5</v>
      </c>
      <c r="E115">
        <v>4</v>
      </c>
      <c r="F115">
        <f t="shared" si="7"/>
        <v>39</v>
      </c>
      <c r="G115" s="3">
        <f t="shared" si="8"/>
        <v>0.76923076923076927</v>
      </c>
      <c r="H115" s="3">
        <f t="shared" si="9"/>
        <v>0.12820512820512819</v>
      </c>
      <c r="I115" s="3">
        <f t="shared" si="10"/>
        <v>0.10256410256410256</v>
      </c>
    </row>
    <row r="116" spans="1:9" x14ac:dyDescent="0.3">
      <c r="A116" t="s">
        <v>402</v>
      </c>
      <c r="B116" t="s">
        <v>520</v>
      </c>
      <c r="C116">
        <v>18</v>
      </c>
      <c r="D116">
        <v>5</v>
      </c>
      <c r="E116">
        <v>20</v>
      </c>
      <c r="F116">
        <f t="shared" si="7"/>
        <v>43</v>
      </c>
      <c r="G116" s="3">
        <f t="shared" si="8"/>
        <v>0.41860465116279072</v>
      </c>
      <c r="H116" s="3">
        <f t="shared" si="9"/>
        <v>0.11627906976744186</v>
      </c>
      <c r="I116" s="3">
        <f t="shared" si="10"/>
        <v>0.46511627906976744</v>
      </c>
    </row>
    <row r="117" spans="1:9" x14ac:dyDescent="0.3">
      <c r="A117" t="s">
        <v>402</v>
      </c>
      <c r="B117" t="s">
        <v>521</v>
      </c>
      <c r="C117">
        <v>37</v>
      </c>
      <c r="D117">
        <v>6</v>
      </c>
      <c r="E117">
        <v>3</v>
      </c>
      <c r="F117">
        <f t="shared" si="7"/>
        <v>46</v>
      </c>
      <c r="G117" s="3">
        <f t="shared" si="8"/>
        <v>0.80434782608695654</v>
      </c>
      <c r="H117" s="3">
        <f t="shared" si="9"/>
        <v>0.13043478260869565</v>
      </c>
      <c r="I117" s="3">
        <f t="shared" si="10"/>
        <v>6.5217391304347824E-2</v>
      </c>
    </row>
    <row r="118" spans="1:9" x14ac:dyDescent="0.3">
      <c r="A118" t="s">
        <v>402</v>
      </c>
      <c r="B118" t="s">
        <v>522</v>
      </c>
      <c r="C118">
        <v>44</v>
      </c>
      <c r="D118">
        <v>0</v>
      </c>
      <c r="E118">
        <v>2</v>
      </c>
      <c r="F118">
        <f t="shared" si="7"/>
        <v>46</v>
      </c>
      <c r="G118" s="3">
        <f t="shared" si="8"/>
        <v>0.95652173913043481</v>
      </c>
      <c r="H118" s="3">
        <f t="shared" si="9"/>
        <v>0</v>
      </c>
      <c r="I118" s="3">
        <f t="shared" si="10"/>
        <v>4.3478260869565216E-2</v>
      </c>
    </row>
    <row r="119" spans="1:9" x14ac:dyDescent="0.3">
      <c r="A119" t="s">
        <v>402</v>
      </c>
      <c r="B119" t="s">
        <v>523</v>
      </c>
      <c r="C119">
        <v>3</v>
      </c>
      <c r="D119">
        <v>0</v>
      </c>
      <c r="E119">
        <v>6</v>
      </c>
      <c r="F119">
        <f t="shared" si="7"/>
        <v>9</v>
      </c>
      <c r="G119" s="3">
        <f t="shared" si="8"/>
        <v>0.33333333333333331</v>
      </c>
      <c r="H119" s="3">
        <f t="shared" si="9"/>
        <v>0</v>
      </c>
      <c r="I119" s="3">
        <f t="shared" si="10"/>
        <v>0.66666666666666663</v>
      </c>
    </row>
    <row r="120" spans="1:9" x14ac:dyDescent="0.3">
      <c r="A120" t="s">
        <v>402</v>
      </c>
      <c r="B120" t="s">
        <v>524</v>
      </c>
      <c r="C120">
        <v>22</v>
      </c>
      <c r="D120">
        <v>2</v>
      </c>
      <c r="E120">
        <v>18</v>
      </c>
      <c r="F120">
        <f t="shared" si="7"/>
        <v>42</v>
      </c>
      <c r="G120" s="3">
        <f t="shared" si="8"/>
        <v>0.52380952380952384</v>
      </c>
      <c r="H120" s="3">
        <f t="shared" si="9"/>
        <v>4.7619047619047616E-2</v>
      </c>
      <c r="I120" s="3">
        <f t="shared" si="10"/>
        <v>0.42857142857142855</v>
      </c>
    </row>
    <row r="121" spans="1:9" x14ac:dyDescent="0.3">
      <c r="A121" t="s">
        <v>402</v>
      </c>
      <c r="B121" t="s">
        <v>527</v>
      </c>
      <c r="C121">
        <v>38</v>
      </c>
      <c r="D121">
        <v>2</v>
      </c>
      <c r="E121">
        <v>1</v>
      </c>
      <c r="F121">
        <f t="shared" si="7"/>
        <v>41</v>
      </c>
      <c r="G121" s="3">
        <f t="shared" si="8"/>
        <v>0.92682926829268297</v>
      </c>
      <c r="H121" s="3">
        <f t="shared" si="9"/>
        <v>4.878048780487805E-2</v>
      </c>
      <c r="I121" s="3">
        <f t="shared" si="10"/>
        <v>2.4390243902439025E-2</v>
      </c>
    </row>
    <row r="122" spans="1:9" x14ac:dyDescent="0.3">
      <c r="A122" t="s">
        <v>402</v>
      </c>
      <c r="B122" t="s">
        <v>528</v>
      </c>
      <c r="C122">
        <v>11</v>
      </c>
      <c r="D122">
        <v>1</v>
      </c>
      <c r="E122">
        <v>2</v>
      </c>
      <c r="F122">
        <f t="shared" si="7"/>
        <v>14</v>
      </c>
      <c r="G122" s="3">
        <f t="shared" si="8"/>
        <v>0.7857142857142857</v>
      </c>
      <c r="H122" s="3">
        <f t="shared" si="9"/>
        <v>7.1428571428571425E-2</v>
      </c>
      <c r="I122" s="3">
        <f t="shared" si="10"/>
        <v>0.14285714285714285</v>
      </c>
    </row>
    <row r="123" spans="1:9" x14ac:dyDescent="0.3">
      <c r="A123" t="s">
        <v>420</v>
      </c>
      <c r="B123" t="s">
        <v>517</v>
      </c>
      <c r="C123">
        <v>75</v>
      </c>
      <c r="D123">
        <v>27</v>
      </c>
      <c r="E123">
        <v>26</v>
      </c>
      <c r="F123">
        <f t="shared" si="7"/>
        <v>128</v>
      </c>
      <c r="G123" s="3">
        <f t="shared" si="8"/>
        <v>0.5859375</v>
      </c>
      <c r="H123" s="3">
        <f t="shared" si="9"/>
        <v>0.2109375</v>
      </c>
      <c r="I123" s="3">
        <f t="shared" si="10"/>
        <v>0.203125</v>
      </c>
    </row>
    <row r="124" spans="1:9" x14ac:dyDescent="0.3">
      <c r="A124" t="s">
        <v>420</v>
      </c>
      <c r="B124" t="s">
        <v>518</v>
      </c>
      <c r="C124">
        <v>210</v>
      </c>
      <c r="D124">
        <v>23</v>
      </c>
      <c r="E124">
        <v>1</v>
      </c>
      <c r="F124">
        <f t="shared" si="7"/>
        <v>234</v>
      </c>
      <c r="G124" s="3">
        <f t="shared" si="8"/>
        <v>0.89743589743589747</v>
      </c>
      <c r="H124" s="3">
        <f t="shared" si="9"/>
        <v>9.8290598290598288E-2</v>
      </c>
      <c r="I124" s="3">
        <f t="shared" si="10"/>
        <v>4.2735042735042739E-3</v>
      </c>
    </row>
    <row r="125" spans="1:9" x14ac:dyDescent="0.3">
      <c r="A125" t="s">
        <v>420</v>
      </c>
      <c r="B125" t="s">
        <v>510</v>
      </c>
      <c r="C125">
        <v>125</v>
      </c>
      <c r="D125">
        <v>58</v>
      </c>
      <c r="E125">
        <v>70</v>
      </c>
      <c r="F125">
        <f t="shared" si="7"/>
        <v>253</v>
      </c>
      <c r="G125" s="3">
        <f t="shared" si="8"/>
        <v>0.49407114624505927</v>
      </c>
      <c r="H125" s="3">
        <f t="shared" si="9"/>
        <v>0.22924901185770752</v>
      </c>
      <c r="I125" s="3">
        <f t="shared" si="10"/>
        <v>0.27667984189723321</v>
      </c>
    </row>
    <row r="126" spans="1:9" x14ac:dyDescent="0.3">
      <c r="A126" t="s">
        <v>420</v>
      </c>
      <c r="B126" t="s">
        <v>519</v>
      </c>
      <c r="C126">
        <v>170</v>
      </c>
      <c r="D126">
        <v>34</v>
      </c>
      <c r="E126">
        <v>13</v>
      </c>
      <c r="F126">
        <f t="shared" si="7"/>
        <v>217</v>
      </c>
      <c r="G126" s="3">
        <f t="shared" si="8"/>
        <v>0.78341013824884798</v>
      </c>
      <c r="H126" s="3">
        <f t="shared" si="9"/>
        <v>0.15668202764976957</v>
      </c>
      <c r="I126" s="3">
        <f t="shared" si="10"/>
        <v>5.9907834101382486E-2</v>
      </c>
    </row>
    <row r="127" spans="1:9" x14ac:dyDescent="0.3">
      <c r="A127" t="s">
        <v>420</v>
      </c>
      <c r="B127" t="s">
        <v>520</v>
      </c>
      <c r="C127">
        <v>89</v>
      </c>
      <c r="D127">
        <v>33</v>
      </c>
      <c r="E127">
        <v>110</v>
      </c>
      <c r="F127">
        <f t="shared" si="7"/>
        <v>232</v>
      </c>
      <c r="G127" s="3">
        <f t="shared" si="8"/>
        <v>0.38362068965517243</v>
      </c>
      <c r="H127" s="3">
        <f t="shared" si="9"/>
        <v>0.14224137931034483</v>
      </c>
      <c r="I127" s="3">
        <f t="shared" si="10"/>
        <v>0.47413793103448276</v>
      </c>
    </row>
    <row r="128" spans="1:9" x14ac:dyDescent="0.3">
      <c r="A128" t="s">
        <v>420</v>
      </c>
      <c r="B128" t="s">
        <v>521</v>
      </c>
      <c r="C128">
        <v>139</v>
      </c>
      <c r="D128">
        <v>85</v>
      </c>
      <c r="E128">
        <v>66</v>
      </c>
      <c r="F128">
        <f t="shared" si="7"/>
        <v>290</v>
      </c>
      <c r="G128" s="3">
        <f t="shared" si="8"/>
        <v>0.47931034482758622</v>
      </c>
      <c r="H128" s="3">
        <f t="shared" si="9"/>
        <v>0.29310344827586204</v>
      </c>
      <c r="I128" s="3">
        <f t="shared" si="10"/>
        <v>0.22758620689655173</v>
      </c>
    </row>
    <row r="129" spans="1:9" x14ac:dyDescent="0.3">
      <c r="A129" t="s">
        <v>420</v>
      </c>
      <c r="B129" t="s">
        <v>522</v>
      </c>
      <c r="C129">
        <v>263</v>
      </c>
      <c r="D129">
        <v>25</v>
      </c>
      <c r="E129">
        <v>10</v>
      </c>
      <c r="F129">
        <f t="shared" si="7"/>
        <v>298</v>
      </c>
      <c r="G129" s="3">
        <f t="shared" si="8"/>
        <v>0.8825503355704698</v>
      </c>
      <c r="H129" s="3">
        <f t="shared" si="9"/>
        <v>8.3892617449664433E-2</v>
      </c>
      <c r="I129" s="3">
        <f t="shared" si="10"/>
        <v>3.3557046979865772E-2</v>
      </c>
    </row>
    <row r="130" spans="1:9" x14ac:dyDescent="0.3">
      <c r="A130" t="s">
        <v>420</v>
      </c>
      <c r="B130" t="s">
        <v>523</v>
      </c>
      <c r="C130">
        <v>36</v>
      </c>
      <c r="D130">
        <v>23</v>
      </c>
      <c r="E130">
        <v>20</v>
      </c>
      <c r="F130">
        <f t="shared" si="7"/>
        <v>79</v>
      </c>
      <c r="G130" s="3">
        <f t="shared" si="8"/>
        <v>0.45569620253164556</v>
      </c>
      <c r="H130" s="3">
        <f t="shared" si="9"/>
        <v>0.29113924050632911</v>
      </c>
      <c r="I130" s="3">
        <f t="shared" si="10"/>
        <v>0.25316455696202533</v>
      </c>
    </row>
    <row r="131" spans="1:9" x14ac:dyDescent="0.3">
      <c r="A131" t="s">
        <v>420</v>
      </c>
      <c r="B131" t="s">
        <v>524</v>
      </c>
      <c r="C131">
        <v>104</v>
      </c>
      <c r="D131">
        <v>35</v>
      </c>
      <c r="E131">
        <v>74</v>
      </c>
      <c r="F131">
        <f t="shared" ref="F131:F144" si="11">SUM(C131:E131)</f>
        <v>213</v>
      </c>
      <c r="G131" s="3">
        <f t="shared" ref="G131:G144" si="12">C131/$F131</f>
        <v>0.48826291079812206</v>
      </c>
      <c r="H131" s="3">
        <f t="shared" ref="H131:H144" si="13">D131/$F131</f>
        <v>0.16431924882629109</v>
      </c>
      <c r="I131" s="3">
        <f t="shared" ref="I131:I144" si="14">E131/$F131</f>
        <v>0.34741784037558687</v>
      </c>
    </row>
    <row r="132" spans="1:9" x14ac:dyDescent="0.3">
      <c r="A132" t="s">
        <v>420</v>
      </c>
      <c r="B132" t="s">
        <v>527</v>
      </c>
      <c r="C132">
        <v>203</v>
      </c>
      <c r="D132">
        <v>5</v>
      </c>
      <c r="E132">
        <v>8</v>
      </c>
      <c r="F132">
        <f t="shared" si="11"/>
        <v>216</v>
      </c>
      <c r="G132" s="3">
        <f t="shared" si="12"/>
        <v>0.93981481481481477</v>
      </c>
      <c r="H132" s="3">
        <f t="shared" si="13"/>
        <v>2.3148148148148147E-2</v>
      </c>
      <c r="I132" s="3">
        <f t="shared" si="14"/>
        <v>3.7037037037037035E-2</v>
      </c>
    </row>
    <row r="133" spans="1:9" x14ac:dyDescent="0.3">
      <c r="A133" t="s">
        <v>420</v>
      </c>
      <c r="B133" t="s">
        <v>528</v>
      </c>
      <c r="C133">
        <v>86</v>
      </c>
      <c r="D133">
        <v>22</v>
      </c>
      <c r="E133">
        <v>17</v>
      </c>
      <c r="F133">
        <f t="shared" si="11"/>
        <v>125</v>
      </c>
      <c r="G133" s="3">
        <f t="shared" si="12"/>
        <v>0.68799999999999994</v>
      </c>
      <c r="H133" s="3">
        <f t="shared" si="13"/>
        <v>0.17599999999999999</v>
      </c>
      <c r="I133" s="3">
        <f t="shared" si="14"/>
        <v>0.13600000000000001</v>
      </c>
    </row>
    <row r="134" spans="1:9" x14ac:dyDescent="0.3">
      <c r="A134" t="s">
        <v>491</v>
      </c>
      <c r="B134" t="s">
        <v>517</v>
      </c>
      <c r="C134">
        <v>10</v>
      </c>
      <c r="D134">
        <v>7</v>
      </c>
      <c r="E134">
        <v>5</v>
      </c>
      <c r="F134">
        <f t="shared" si="11"/>
        <v>22</v>
      </c>
      <c r="G134" s="3">
        <f t="shared" si="12"/>
        <v>0.45454545454545453</v>
      </c>
      <c r="H134" s="3">
        <f t="shared" si="13"/>
        <v>0.31818181818181818</v>
      </c>
      <c r="I134" s="3">
        <f t="shared" si="14"/>
        <v>0.22727272727272727</v>
      </c>
    </row>
    <row r="135" spans="1:9" x14ac:dyDescent="0.3">
      <c r="A135" t="s">
        <v>491</v>
      </c>
      <c r="B135" t="s">
        <v>518</v>
      </c>
      <c r="C135">
        <v>26</v>
      </c>
      <c r="D135">
        <v>4</v>
      </c>
      <c r="E135">
        <v>0</v>
      </c>
      <c r="F135">
        <f t="shared" si="11"/>
        <v>30</v>
      </c>
      <c r="G135" s="3">
        <f t="shared" si="12"/>
        <v>0.8666666666666667</v>
      </c>
      <c r="H135" s="3">
        <f t="shared" si="13"/>
        <v>0.13333333333333333</v>
      </c>
      <c r="I135" s="3">
        <f t="shared" si="14"/>
        <v>0</v>
      </c>
    </row>
    <row r="136" spans="1:9" x14ac:dyDescent="0.3">
      <c r="A136" t="s">
        <v>491</v>
      </c>
      <c r="B136" t="s">
        <v>510</v>
      </c>
      <c r="C136">
        <v>11</v>
      </c>
      <c r="D136">
        <v>3</v>
      </c>
      <c r="E136">
        <v>18</v>
      </c>
      <c r="F136">
        <f t="shared" si="11"/>
        <v>32</v>
      </c>
      <c r="G136" s="3">
        <f t="shared" si="12"/>
        <v>0.34375</v>
      </c>
      <c r="H136" s="3">
        <f t="shared" si="13"/>
        <v>9.375E-2</v>
      </c>
      <c r="I136" s="3">
        <f t="shared" si="14"/>
        <v>0.5625</v>
      </c>
    </row>
    <row r="137" spans="1:9" x14ac:dyDescent="0.3">
      <c r="A137" t="s">
        <v>491</v>
      </c>
      <c r="B137" t="s">
        <v>519</v>
      </c>
      <c r="C137">
        <v>13</v>
      </c>
      <c r="D137">
        <v>10</v>
      </c>
      <c r="E137">
        <v>5</v>
      </c>
      <c r="F137">
        <f t="shared" si="11"/>
        <v>28</v>
      </c>
      <c r="G137" s="3">
        <f t="shared" si="12"/>
        <v>0.4642857142857143</v>
      </c>
      <c r="H137" s="3">
        <f t="shared" si="13"/>
        <v>0.35714285714285715</v>
      </c>
      <c r="I137" s="3">
        <f t="shared" si="14"/>
        <v>0.17857142857142858</v>
      </c>
    </row>
    <row r="138" spans="1:9" x14ac:dyDescent="0.3">
      <c r="A138" t="s">
        <v>491</v>
      </c>
      <c r="B138" t="s">
        <v>520</v>
      </c>
      <c r="C138">
        <v>8</v>
      </c>
      <c r="D138">
        <v>2</v>
      </c>
      <c r="E138">
        <v>20</v>
      </c>
      <c r="F138">
        <f t="shared" si="11"/>
        <v>30</v>
      </c>
      <c r="G138" s="3">
        <f t="shared" si="12"/>
        <v>0.26666666666666666</v>
      </c>
      <c r="H138" s="3">
        <f t="shared" si="13"/>
        <v>6.6666666666666666E-2</v>
      </c>
      <c r="I138" s="3">
        <f t="shared" si="14"/>
        <v>0.66666666666666663</v>
      </c>
    </row>
    <row r="139" spans="1:9" x14ac:dyDescent="0.3">
      <c r="A139" t="s">
        <v>491</v>
      </c>
      <c r="B139" t="s">
        <v>521</v>
      </c>
      <c r="C139">
        <v>19</v>
      </c>
      <c r="D139">
        <v>14</v>
      </c>
      <c r="E139">
        <v>4</v>
      </c>
      <c r="F139">
        <f t="shared" si="11"/>
        <v>37</v>
      </c>
      <c r="G139" s="3">
        <f t="shared" si="12"/>
        <v>0.51351351351351349</v>
      </c>
      <c r="H139" s="3">
        <f t="shared" si="13"/>
        <v>0.3783783783783784</v>
      </c>
      <c r="I139" s="3">
        <f t="shared" si="14"/>
        <v>0.10810810810810811</v>
      </c>
    </row>
    <row r="140" spans="1:9" x14ac:dyDescent="0.3">
      <c r="A140" t="s">
        <v>491</v>
      </c>
      <c r="B140" t="s">
        <v>522</v>
      </c>
      <c r="C140">
        <v>36</v>
      </c>
      <c r="D140">
        <v>2</v>
      </c>
      <c r="E140">
        <v>1</v>
      </c>
      <c r="F140">
        <f t="shared" si="11"/>
        <v>39</v>
      </c>
      <c r="G140" s="3">
        <f t="shared" si="12"/>
        <v>0.92307692307692313</v>
      </c>
      <c r="H140" s="3">
        <f t="shared" si="13"/>
        <v>5.128205128205128E-2</v>
      </c>
      <c r="I140" s="3">
        <f t="shared" si="14"/>
        <v>2.564102564102564E-2</v>
      </c>
    </row>
    <row r="141" spans="1:9" x14ac:dyDescent="0.3">
      <c r="A141" t="s">
        <v>491</v>
      </c>
      <c r="B141" t="s">
        <v>523</v>
      </c>
      <c r="C141">
        <v>1</v>
      </c>
      <c r="D141">
        <v>0</v>
      </c>
      <c r="E141">
        <v>1</v>
      </c>
      <c r="F141">
        <f t="shared" si="11"/>
        <v>2</v>
      </c>
      <c r="G141" s="3">
        <f t="shared" si="12"/>
        <v>0.5</v>
      </c>
      <c r="H141" s="3">
        <f t="shared" si="13"/>
        <v>0</v>
      </c>
      <c r="I141" s="3">
        <f t="shared" si="14"/>
        <v>0.5</v>
      </c>
    </row>
    <row r="142" spans="1:9" x14ac:dyDescent="0.3">
      <c r="A142" t="s">
        <v>491</v>
      </c>
      <c r="B142" t="s">
        <v>524</v>
      </c>
      <c r="C142">
        <v>9</v>
      </c>
      <c r="D142">
        <v>1</v>
      </c>
      <c r="E142">
        <v>17</v>
      </c>
      <c r="F142">
        <f t="shared" si="11"/>
        <v>27</v>
      </c>
      <c r="G142" s="3">
        <f t="shared" si="12"/>
        <v>0.33333333333333331</v>
      </c>
      <c r="H142" s="3">
        <f t="shared" si="13"/>
        <v>3.7037037037037035E-2</v>
      </c>
      <c r="I142" s="3">
        <f t="shared" si="14"/>
        <v>0.62962962962962965</v>
      </c>
    </row>
    <row r="143" spans="1:9" x14ac:dyDescent="0.3">
      <c r="A143" t="s">
        <v>491</v>
      </c>
      <c r="B143" t="s">
        <v>527</v>
      </c>
      <c r="C143">
        <v>23</v>
      </c>
      <c r="D143">
        <v>2</v>
      </c>
      <c r="E143">
        <v>1</v>
      </c>
      <c r="F143">
        <f t="shared" si="11"/>
        <v>26</v>
      </c>
      <c r="G143" s="3">
        <f t="shared" si="12"/>
        <v>0.88461538461538458</v>
      </c>
      <c r="H143" s="3">
        <f t="shared" si="13"/>
        <v>7.6923076923076927E-2</v>
      </c>
      <c r="I143" s="3">
        <f t="shared" si="14"/>
        <v>3.8461538461538464E-2</v>
      </c>
    </row>
    <row r="144" spans="1:9" x14ac:dyDescent="0.3">
      <c r="A144" t="s">
        <v>491</v>
      </c>
      <c r="B144" t="s">
        <v>528</v>
      </c>
      <c r="C144">
        <v>8</v>
      </c>
      <c r="D144">
        <v>1</v>
      </c>
      <c r="E144">
        <v>1</v>
      </c>
      <c r="F144">
        <f t="shared" si="11"/>
        <v>10</v>
      </c>
      <c r="G144" s="3">
        <f t="shared" si="12"/>
        <v>0.8</v>
      </c>
      <c r="H144" s="3">
        <f t="shared" si="13"/>
        <v>0.1</v>
      </c>
      <c r="I144" s="3">
        <f t="shared" si="14"/>
        <v>0.1</v>
      </c>
    </row>
  </sheetData>
  <pageMargins left="0.7" right="0.7" top="0.75" bottom="0.75" header="0.3" footer="0.3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568C5-8FBE-4766-AEDF-5332C1C2AFD5}">
  <dimension ref="A1:F484"/>
  <sheetViews>
    <sheetView workbookViewId="0">
      <pane ySplit="1" topLeftCell="A17" activePane="bottomLeft" state="frozen"/>
      <selection pane="bottomLeft" activeCell="F2" sqref="F2"/>
    </sheetView>
  </sheetViews>
  <sheetFormatPr defaultRowHeight="14.4" x14ac:dyDescent="0.3"/>
  <cols>
    <col min="3" max="3" width="28.6640625" bestFit="1" customWidth="1"/>
    <col min="4" max="4" width="18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529</v>
      </c>
    </row>
    <row r="2" spans="1:6" x14ac:dyDescent="0.3">
      <c r="A2">
        <v>190</v>
      </c>
      <c r="B2">
        <v>1000</v>
      </c>
      <c r="C2" t="s">
        <v>211</v>
      </c>
      <c r="D2" t="s">
        <v>191</v>
      </c>
      <c r="E2">
        <f>_xlfn.XLOOKUP(D2,Regije!B:B,Regije!A:A)</f>
        <v>8</v>
      </c>
      <c r="F2" t="str">
        <f>"update postalCodes set RegionID="&amp;E2&amp;" where code="&amp;B2&amp;";"</f>
        <v>update postalCodes set RegionID=8 where code=1000;</v>
      </c>
    </row>
    <row r="3" spans="1:6" x14ac:dyDescent="0.3">
      <c r="A3">
        <v>191</v>
      </c>
      <c r="B3">
        <v>1001</v>
      </c>
      <c r="C3" t="s">
        <v>212</v>
      </c>
      <c r="D3" t="s">
        <v>191</v>
      </c>
      <c r="E3">
        <f>_xlfn.XLOOKUP(D3,Regije!B:B,Regije!A:A)</f>
        <v>8</v>
      </c>
      <c r="F3" t="str">
        <f t="shared" ref="F3:F66" si="0">"update postalCodes set RegionID="&amp;E3&amp;" where code="&amp;B3&amp;";"</f>
        <v>update postalCodes set RegionID=8 where code=1001;</v>
      </c>
    </row>
    <row r="4" spans="1:6" x14ac:dyDescent="0.3">
      <c r="A4">
        <v>195</v>
      </c>
      <c r="B4">
        <v>1002</v>
      </c>
      <c r="C4" t="s">
        <v>216</v>
      </c>
      <c r="D4" t="s">
        <v>191</v>
      </c>
      <c r="E4">
        <f>_xlfn.XLOOKUP(D4,Regije!B:B,Regije!A:A)</f>
        <v>8</v>
      </c>
      <c r="F4" t="str">
        <f t="shared" si="0"/>
        <v>update postalCodes set RegionID=8 where code=1002;</v>
      </c>
    </row>
    <row r="5" spans="1:6" x14ac:dyDescent="0.3">
      <c r="A5">
        <v>196</v>
      </c>
      <c r="B5">
        <v>1210</v>
      </c>
      <c r="C5" t="s">
        <v>217</v>
      </c>
      <c r="D5" t="s">
        <v>191</v>
      </c>
      <c r="E5">
        <f>_xlfn.XLOOKUP(D5,Regije!B:B,Regije!A:A)</f>
        <v>8</v>
      </c>
      <c r="F5" t="str">
        <f t="shared" si="0"/>
        <v>update postalCodes set RegionID=8 where code=1210;</v>
      </c>
    </row>
    <row r="6" spans="1:6" x14ac:dyDescent="0.3">
      <c r="A6">
        <v>197</v>
      </c>
      <c r="B6">
        <v>1211</v>
      </c>
      <c r="C6" t="s">
        <v>218</v>
      </c>
      <c r="D6" t="s">
        <v>191</v>
      </c>
      <c r="E6">
        <f>_xlfn.XLOOKUP(D6,Regije!B:B,Regije!A:A)</f>
        <v>8</v>
      </c>
      <c r="F6" t="str">
        <f t="shared" si="0"/>
        <v>update postalCodes set RegionID=8 where code=1211;</v>
      </c>
    </row>
    <row r="7" spans="1:6" x14ac:dyDescent="0.3">
      <c r="A7">
        <v>225</v>
      </c>
      <c r="B7">
        <v>1215</v>
      </c>
      <c r="C7" t="s">
        <v>222</v>
      </c>
      <c r="D7" t="s">
        <v>191</v>
      </c>
      <c r="E7">
        <f>_xlfn.XLOOKUP(D7,Regije!B:B,Regije!A:A)</f>
        <v>8</v>
      </c>
      <c r="F7" t="str">
        <f t="shared" si="0"/>
        <v>update postalCodes set RegionID=8 where code=1215;</v>
      </c>
    </row>
    <row r="8" spans="1:6" x14ac:dyDescent="0.3">
      <c r="A8">
        <v>349</v>
      </c>
      <c r="B8">
        <v>1216</v>
      </c>
      <c r="C8" t="s">
        <v>235</v>
      </c>
      <c r="D8" t="s">
        <v>191</v>
      </c>
      <c r="E8">
        <f>_xlfn.XLOOKUP(D8,Regije!B:B,Regije!A:A)</f>
        <v>8</v>
      </c>
      <c r="F8" t="str">
        <f t="shared" si="0"/>
        <v>update postalCodes set RegionID=8 where code=1216;</v>
      </c>
    </row>
    <row r="9" spans="1:6" x14ac:dyDescent="0.3">
      <c r="A9">
        <v>447</v>
      </c>
      <c r="B9">
        <v>1217</v>
      </c>
      <c r="C9" t="s">
        <v>249</v>
      </c>
      <c r="D9" t="s">
        <v>191</v>
      </c>
      <c r="E9">
        <f>_xlfn.XLOOKUP(D9,Regije!B:B,Regije!A:A)</f>
        <v>8</v>
      </c>
      <c r="F9" t="str">
        <f t="shared" si="0"/>
        <v>update postalCodes set RegionID=8 where code=1217;</v>
      </c>
    </row>
    <row r="10" spans="1:6" x14ac:dyDescent="0.3">
      <c r="A10">
        <v>154</v>
      </c>
      <c r="B10">
        <v>1218</v>
      </c>
      <c r="C10" t="s">
        <v>206</v>
      </c>
      <c r="D10" t="s">
        <v>191</v>
      </c>
      <c r="E10">
        <f>_xlfn.XLOOKUP(D10,Regije!B:B,Regije!A:A)</f>
        <v>8</v>
      </c>
      <c r="F10" t="str">
        <f t="shared" si="0"/>
        <v>update postalCodes set RegionID=8 where code=1218;</v>
      </c>
    </row>
    <row r="11" spans="1:6" x14ac:dyDescent="0.3">
      <c r="A11">
        <v>180</v>
      </c>
      <c r="B11">
        <v>1219</v>
      </c>
      <c r="C11" t="s">
        <v>209</v>
      </c>
      <c r="D11" t="s">
        <v>191</v>
      </c>
      <c r="E11">
        <f>_xlfn.XLOOKUP(D11,Regije!B:B,Regije!A:A)</f>
        <v>8</v>
      </c>
      <c r="F11" t="str">
        <f t="shared" si="0"/>
        <v>update postalCodes set RegionID=8 where code=1219;</v>
      </c>
    </row>
    <row r="12" spans="1:6" x14ac:dyDescent="0.3">
      <c r="A12">
        <v>240</v>
      </c>
      <c r="B12">
        <v>1221</v>
      </c>
      <c r="C12" t="s">
        <v>225</v>
      </c>
      <c r="D12" t="s">
        <v>191</v>
      </c>
      <c r="E12">
        <f>_xlfn.XLOOKUP(D12,Regije!B:B,Regije!A:A)</f>
        <v>8</v>
      </c>
      <c r="F12" t="str">
        <f t="shared" si="0"/>
        <v>update postalCodes set RegionID=8 where code=1221;</v>
      </c>
    </row>
    <row r="13" spans="1:6" x14ac:dyDescent="0.3">
      <c r="A13">
        <v>423</v>
      </c>
      <c r="B13">
        <v>1222</v>
      </c>
      <c r="C13" t="s">
        <v>242</v>
      </c>
      <c r="D13" t="s">
        <v>191</v>
      </c>
      <c r="E13">
        <f>_xlfn.XLOOKUP(D13,Regije!B:B,Regije!A:A)</f>
        <v>8</v>
      </c>
      <c r="F13" t="str">
        <f t="shared" si="0"/>
        <v>update postalCodes set RegionID=8 where code=1222;</v>
      </c>
    </row>
    <row r="14" spans="1:6" x14ac:dyDescent="0.3">
      <c r="A14">
        <v>13</v>
      </c>
      <c r="B14">
        <v>1223</v>
      </c>
      <c r="C14" t="s">
        <v>190</v>
      </c>
      <c r="D14" t="s">
        <v>191</v>
      </c>
      <c r="E14">
        <f>_xlfn.XLOOKUP(D14,Regije!B:B,Regije!A:A)</f>
        <v>8</v>
      </c>
      <c r="F14" t="str">
        <f t="shared" si="0"/>
        <v>update postalCodes set RegionID=8 where code=1223;</v>
      </c>
    </row>
    <row r="15" spans="1:6" x14ac:dyDescent="0.3">
      <c r="A15">
        <v>211</v>
      </c>
      <c r="B15">
        <v>1225</v>
      </c>
      <c r="C15" t="s">
        <v>221</v>
      </c>
      <c r="D15" t="s">
        <v>191</v>
      </c>
      <c r="E15">
        <f>_xlfn.XLOOKUP(D15,Regije!B:B,Regije!A:A)</f>
        <v>8</v>
      </c>
      <c r="F15" t="str">
        <f t="shared" si="0"/>
        <v>update postalCodes set RegionID=8 where code=1225;</v>
      </c>
    </row>
    <row r="16" spans="1:6" x14ac:dyDescent="0.3">
      <c r="A16">
        <v>77</v>
      </c>
      <c r="B16">
        <v>1230</v>
      </c>
      <c r="C16" t="s">
        <v>198</v>
      </c>
      <c r="D16" t="s">
        <v>191</v>
      </c>
      <c r="E16">
        <f>_xlfn.XLOOKUP(D16,Regije!B:B,Regije!A:A)</f>
        <v>8</v>
      </c>
      <c r="F16" t="str">
        <f t="shared" si="0"/>
        <v>update postalCodes set RegionID=8 where code=1230;</v>
      </c>
    </row>
    <row r="17" spans="1:6" x14ac:dyDescent="0.3">
      <c r="A17">
        <v>192</v>
      </c>
      <c r="B17">
        <v>1231</v>
      </c>
      <c r="C17" t="s">
        <v>213</v>
      </c>
      <c r="D17" t="s">
        <v>191</v>
      </c>
      <c r="E17">
        <f>_xlfn.XLOOKUP(D17,Regije!B:B,Regije!A:A)</f>
        <v>8</v>
      </c>
      <c r="F17" t="str">
        <f t="shared" si="0"/>
        <v>update postalCodes set RegionID=8 where code=1231;</v>
      </c>
    </row>
    <row r="18" spans="1:6" x14ac:dyDescent="0.3">
      <c r="A18">
        <v>62</v>
      </c>
      <c r="B18">
        <v>1233</v>
      </c>
      <c r="C18" t="s">
        <v>194</v>
      </c>
      <c r="D18" t="s">
        <v>191</v>
      </c>
      <c r="E18">
        <f>_xlfn.XLOOKUP(D18,Regije!B:B,Regije!A:A)</f>
        <v>8</v>
      </c>
      <c r="F18" t="str">
        <f t="shared" si="0"/>
        <v>update postalCodes set RegionID=8 where code=1233;</v>
      </c>
    </row>
    <row r="19" spans="1:6" x14ac:dyDescent="0.3">
      <c r="A19">
        <v>226</v>
      </c>
      <c r="B19">
        <v>1234</v>
      </c>
      <c r="C19" t="s">
        <v>223</v>
      </c>
      <c r="D19" t="s">
        <v>191</v>
      </c>
      <c r="E19">
        <f>_xlfn.XLOOKUP(D19,Regije!B:B,Regije!A:A)</f>
        <v>8</v>
      </c>
      <c r="F19" t="str">
        <f t="shared" si="0"/>
        <v>update postalCodes set RegionID=8 where code=1234;</v>
      </c>
    </row>
    <row r="20" spans="1:6" x14ac:dyDescent="0.3">
      <c r="A20">
        <v>316</v>
      </c>
      <c r="B20">
        <v>1235</v>
      </c>
      <c r="C20" t="s">
        <v>231</v>
      </c>
      <c r="D20" t="s">
        <v>191</v>
      </c>
      <c r="E20">
        <f>_xlfn.XLOOKUP(D20,Regije!B:B,Regije!A:A)</f>
        <v>8</v>
      </c>
      <c r="F20" t="str">
        <f t="shared" si="0"/>
        <v>update postalCodes set RegionID=8 where code=1235;</v>
      </c>
    </row>
    <row r="21" spans="1:6" x14ac:dyDescent="0.3">
      <c r="A21">
        <v>424</v>
      </c>
      <c r="B21">
        <v>1236</v>
      </c>
      <c r="C21" t="s">
        <v>243</v>
      </c>
      <c r="D21" t="s">
        <v>191</v>
      </c>
      <c r="E21">
        <f>_xlfn.XLOOKUP(D21,Regije!B:B,Regije!A:A)</f>
        <v>8</v>
      </c>
      <c r="F21" t="str">
        <f t="shared" si="0"/>
        <v>update postalCodes set RegionID=8 where code=1236;</v>
      </c>
    </row>
    <row r="22" spans="1:6" x14ac:dyDescent="0.3">
      <c r="A22">
        <v>140</v>
      </c>
      <c r="B22">
        <v>1241</v>
      </c>
      <c r="C22" t="s">
        <v>205</v>
      </c>
      <c r="D22" t="s">
        <v>191</v>
      </c>
      <c r="E22">
        <f>_xlfn.XLOOKUP(D22,Regije!B:B,Regije!A:A)</f>
        <v>8</v>
      </c>
      <c r="F22" t="str">
        <f t="shared" si="0"/>
        <v>update postalCodes set RegionID=8 where code=1241;</v>
      </c>
    </row>
    <row r="23" spans="1:6" x14ac:dyDescent="0.3">
      <c r="A23">
        <v>363</v>
      </c>
      <c r="B23">
        <v>1242</v>
      </c>
      <c r="C23" t="s">
        <v>236</v>
      </c>
      <c r="D23" t="s">
        <v>191</v>
      </c>
      <c r="E23">
        <f>_xlfn.XLOOKUP(D23,Regije!B:B,Regije!A:A)</f>
        <v>8</v>
      </c>
      <c r="F23" t="str">
        <f t="shared" si="0"/>
        <v>update postalCodes set RegionID=8 where code=1242;</v>
      </c>
    </row>
    <row r="24" spans="1:6" x14ac:dyDescent="0.3">
      <c r="A24">
        <v>237</v>
      </c>
      <c r="B24">
        <v>1251</v>
      </c>
      <c r="C24" t="s">
        <v>224</v>
      </c>
      <c r="D24" t="s">
        <v>191</v>
      </c>
      <c r="E24">
        <f>_xlfn.XLOOKUP(D24,Regije!B:B,Regije!A:A)</f>
        <v>8</v>
      </c>
      <c r="F24" t="str">
        <f t="shared" si="0"/>
        <v>update postalCodes set RegionID=8 where code=1251;</v>
      </c>
    </row>
    <row r="25" spans="1:6" x14ac:dyDescent="0.3">
      <c r="A25">
        <v>430</v>
      </c>
      <c r="B25">
        <v>1252</v>
      </c>
      <c r="C25" t="s">
        <v>245</v>
      </c>
      <c r="D25" t="s">
        <v>191</v>
      </c>
      <c r="E25">
        <f>_xlfn.XLOOKUP(D25,Regije!B:B,Regije!A:A)</f>
        <v>8</v>
      </c>
      <c r="F25" t="str">
        <f t="shared" si="0"/>
        <v>update postalCodes set RegionID=8 where code=1252;</v>
      </c>
    </row>
    <row r="26" spans="1:6" x14ac:dyDescent="0.3">
      <c r="A26">
        <v>194</v>
      </c>
      <c r="B26">
        <v>1260</v>
      </c>
      <c r="C26" t="s">
        <v>215</v>
      </c>
      <c r="D26" t="s">
        <v>191</v>
      </c>
      <c r="E26">
        <f>_xlfn.XLOOKUP(D26,Regije!B:B,Regije!A:A)</f>
        <v>8</v>
      </c>
      <c r="F26" t="str">
        <f t="shared" si="0"/>
        <v>update postalCodes set RegionID=8 where code=1260;</v>
      </c>
    </row>
    <row r="27" spans="1:6" x14ac:dyDescent="0.3">
      <c r="A27">
        <v>193</v>
      </c>
      <c r="B27">
        <v>1261</v>
      </c>
      <c r="C27" t="s">
        <v>214</v>
      </c>
      <c r="D27" t="s">
        <v>191</v>
      </c>
      <c r="E27">
        <f>_xlfn.XLOOKUP(D27,Regije!B:B,Regije!A:A)</f>
        <v>8</v>
      </c>
      <c r="F27" t="str">
        <f t="shared" si="0"/>
        <v>update postalCodes set RegionID=8 where code=1261;</v>
      </c>
    </row>
    <row r="28" spans="1:6" x14ac:dyDescent="0.3">
      <c r="A28">
        <v>73</v>
      </c>
      <c r="B28">
        <v>1262</v>
      </c>
      <c r="C28" t="s">
        <v>196</v>
      </c>
      <c r="D28" t="s">
        <v>191</v>
      </c>
      <c r="E28">
        <f>_xlfn.XLOOKUP(D28,Regije!B:B,Regije!A:A)</f>
        <v>8</v>
      </c>
      <c r="F28" t="str">
        <f t="shared" si="0"/>
        <v>update postalCodes set RegionID=8 where code=1262;</v>
      </c>
    </row>
    <row r="29" spans="1:6" x14ac:dyDescent="0.3">
      <c r="A29">
        <v>188</v>
      </c>
      <c r="B29">
        <v>1270</v>
      </c>
      <c r="C29" t="s">
        <v>210</v>
      </c>
      <c r="D29" s="1" t="s">
        <v>491</v>
      </c>
      <c r="E29">
        <f>_xlfn.XLOOKUP(D29,Regije!B:B,Regije!A:A)</f>
        <v>5</v>
      </c>
      <c r="F29" t="str">
        <f t="shared" si="0"/>
        <v>update postalCodes set RegionID=5 where code=1270;</v>
      </c>
    </row>
    <row r="30" spans="1:6" x14ac:dyDescent="0.3">
      <c r="A30">
        <v>292</v>
      </c>
      <c r="B30">
        <v>1272</v>
      </c>
      <c r="C30" t="s">
        <v>228</v>
      </c>
      <c r="D30" t="s">
        <v>191</v>
      </c>
      <c r="E30">
        <f>_xlfn.XLOOKUP(D30,Regije!B:B,Regije!A:A)</f>
        <v>8</v>
      </c>
      <c r="F30" t="str">
        <f t="shared" si="0"/>
        <v>update postalCodes set RegionID=8 where code=1272;</v>
      </c>
    </row>
    <row r="31" spans="1:6" x14ac:dyDescent="0.3">
      <c r="A31">
        <v>74</v>
      </c>
      <c r="B31">
        <v>1273</v>
      </c>
      <c r="C31" t="s">
        <v>197</v>
      </c>
      <c r="D31" t="s">
        <v>191</v>
      </c>
      <c r="E31">
        <f>_xlfn.XLOOKUP(D31,Regije!B:B,Regije!A:A)</f>
        <v>8</v>
      </c>
      <c r="F31" t="str">
        <f t="shared" si="0"/>
        <v>update postalCodes set RegionID=8 where code=1273;</v>
      </c>
    </row>
    <row r="32" spans="1:6" x14ac:dyDescent="0.3">
      <c r="A32">
        <v>91</v>
      </c>
      <c r="B32">
        <v>1274</v>
      </c>
      <c r="C32" t="s">
        <v>199</v>
      </c>
      <c r="D32" t="s">
        <v>191</v>
      </c>
      <c r="E32">
        <f>_xlfn.XLOOKUP(D32,Regije!B:B,Regije!A:A)</f>
        <v>8</v>
      </c>
      <c r="F32" t="str">
        <f t="shared" si="0"/>
        <v>update postalCodes set RegionID=8 where code=1274;</v>
      </c>
    </row>
    <row r="33" spans="1:6" x14ac:dyDescent="0.3">
      <c r="A33">
        <v>406</v>
      </c>
      <c r="B33">
        <v>1275</v>
      </c>
      <c r="C33" t="s">
        <v>241</v>
      </c>
      <c r="D33" t="s">
        <v>191</v>
      </c>
      <c r="E33">
        <f>_xlfn.XLOOKUP(D33,Regije!B:B,Regije!A:A)</f>
        <v>8</v>
      </c>
      <c r="F33" t="str">
        <f t="shared" si="0"/>
        <v>update postalCodes set RegionID=8 where code=1275;</v>
      </c>
    </row>
    <row r="34" spans="1:6" x14ac:dyDescent="0.3">
      <c r="A34">
        <v>305</v>
      </c>
      <c r="B34">
        <v>1276</v>
      </c>
      <c r="C34" t="s">
        <v>230</v>
      </c>
      <c r="D34" t="s">
        <v>191</v>
      </c>
      <c r="E34">
        <f>_xlfn.XLOOKUP(D34,Regije!B:B,Regije!A:A)</f>
        <v>8</v>
      </c>
      <c r="F34" t="str">
        <f t="shared" si="0"/>
        <v>update postalCodes set RegionID=8 where code=1276;</v>
      </c>
    </row>
    <row r="35" spans="1:6" x14ac:dyDescent="0.3">
      <c r="A35">
        <v>168</v>
      </c>
      <c r="B35">
        <v>1281</v>
      </c>
      <c r="C35" t="s">
        <v>207</v>
      </c>
      <c r="D35" t="s">
        <v>191</v>
      </c>
      <c r="E35">
        <f>_xlfn.XLOOKUP(D35,Regije!B:B,Regije!A:A)</f>
        <v>8</v>
      </c>
      <c r="F35" t="str">
        <f t="shared" si="0"/>
        <v>update postalCodes set RegionID=8 where code=1281;</v>
      </c>
    </row>
    <row r="36" spans="1:6" x14ac:dyDescent="0.3">
      <c r="A36">
        <v>335</v>
      </c>
      <c r="B36">
        <v>1282</v>
      </c>
      <c r="C36" t="s">
        <v>234</v>
      </c>
      <c r="D36" t="s">
        <v>191</v>
      </c>
      <c r="E36">
        <f>_xlfn.XLOOKUP(D36,Regije!B:B,Regije!A:A)</f>
        <v>8</v>
      </c>
      <c r="F36" t="str">
        <f t="shared" si="0"/>
        <v>update postalCodes set RegionID=8 where code=1282;</v>
      </c>
    </row>
    <row r="37" spans="1:6" x14ac:dyDescent="0.3">
      <c r="A37">
        <v>110</v>
      </c>
      <c r="B37">
        <v>1290</v>
      </c>
      <c r="C37" t="s">
        <v>200</v>
      </c>
      <c r="D37" t="s">
        <v>191</v>
      </c>
      <c r="E37">
        <f>_xlfn.XLOOKUP(D37,Regije!B:B,Regije!A:A)</f>
        <v>8</v>
      </c>
      <c r="F37" t="str">
        <f t="shared" si="0"/>
        <v>update postalCodes set RegionID=8 where code=1290;</v>
      </c>
    </row>
    <row r="38" spans="1:6" x14ac:dyDescent="0.3">
      <c r="A38">
        <v>398</v>
      </c>
      <c r="B38">
        <v>1291</v>
      </c>
      <c r="C38" t="s">
        <v>239</v>
      </c>
      <c r="D38" t="s">
        <v>191</v>
      </c>
      <c r="E38">
        <f>_xlfn.XLOOKUP(D38,Regije!B:B,Regije!A:A)</f>
        <v>8</v>
      </c>
      <c r="F38" t="str">
        <f t="shared" si="0"/>
        <v>update postalCodes set RegionID=8 where code=1291;</v>
      </c>
    </row>
    <row r="39" spans="1:6" x14ac:dyDescent="0.3">
      <c r="A39">
        <v>121</v>
      </c>
      <c r="B39">
        <v>1292</v>
      </c>
      <c r="C39" t="s">
        <v>203</v>
      </c>
      <c r="D39" t="s">
        <v>191</v>
      </c>
      <c r="E39">
        <f>_xlfn.XLOOKUP(D39,Regije!B:B,Regije!A:A)</f>
        <v>8</v>
      </c>
      <c r="F39" t="str">
        <f t="shared" si="0"/>
        <v>update postalCodes set RegionID=8 where code=1292;</v>
      </c>
    </row>
    <row r="40" spans="1:6" x14ac:dyDescent="0.3">
      <c r="A40">
        <v>400</v>
      </c>
      <c r="B40">
        <v>1293</v>
      </c>
      <c r="C40" t="s">
        <v>240</v>
      </c>
      <c r="D40" t="s">
        <v>191</v>
      </c>
      <c r="E40">
        <f>_xlfn.XLOOKUP(D40,Regije!B:B,Regije!A:A)</f>
        <v>8</v>
      </c>
      <c r="F40" t="str">
        <f t="shared" si="0"/>
        <v>update postalCodes set RegionID=8 where code=1293;</v>
      </c>
    </row>
    <row r="41" spans="1:6" x14ac:dyDescent="0.3">
      <c r="A41">
        <v>444</v>
      </c>
      <c r="B41">
        <v>1294</v>
      </c>
      <c r="C41" t="s">
        <v>248</v>
      </c>
      <c r="D41" t="s">
        <v>191</v>
      </c>
      <c r="E41">
        <f>_xlfn.XLOOKUP(D41,Regije!B:B,Regije!A:A)</f>
        <v>8</v>
      </c>
      <c r="F41" t="str">
        <f t="shared" si="0"/>
        <v>update postalCodes set RegionID=8 where code=1294;</v>
      </c>
    </row>
    <row r="42" spans="1:6" x14ac:dyDescent="0.3">
      <c r="A42">
        <v>124</v>
      </c>
      <c r="B42">
        <v>1295</v>
      </c>
      <c r="C42" t="s">
        <v>204</v>
      </c>
      <c r="D42" t="s">
        <v>191</v>
      </c>
      <c r="E42">
        <f>_xlfn.XLOOKUP(D42,Regije!B:B,Regije!A:A)</f>
        <v>8</v>
      </c>
      <c r="F42" t="str">
        <f t="shared" si="0"/>
        <v>update postalCodes set RegionID=8 where code=1295;</v>
      </c>
    </row>
    <row r="43" spans="1:6" x14ac:dyDescent="0.3">
      <c r="A43">
        <v>393</v>
      </c>
      <c r="B43">
        <v>1296</v>
      </c>
      <c r="C43" t="s">
        <v>238</v>
      </c>
      <c r="D43" t="s">
        <v>191</v>
      </c>
      <c r="E43">
        <f>_xlfn.XLOOKUP(D43,Regije!B:B,Regije!A:A)</f>
        <v>8</v>
      </c>
      <c r="F43" t="str">
        <f t="shared" si="0"/>
        <v>update postalCodes set RegionID=8 where code=1296;</v>
      </c>
    </row>
    <row r="44" spans="1:6" x14ac:dyDescent="0.3">
      <c r="A44">
        <v>172</v>
      </c>
      <c r="B44">
        <v>1301</v>
      </c>
      <c r="C44" t="s">
        <v>208</v>
      </c>
      <c r="D44" t="s">
        <v>191</v>
      </c>
      <c r="E44">
        <f>_xlfn.XLOOKUP(D44,Regije!B:B,Regije!A:A)</f>
        <v>8</v>
      </c>
      <c r="F44" t="str">
        <f t="shared" si="0"/>
        <v>update postalCodes set RegionID=8 where code=1301;</v>
      </c>
    </row>
    <row r="45" spans="1:6" x14ac:dyDescent="0.3">
      <c r="A45">
        <v>458</v>
      </c>
      <c r="B45">
        <v>1303</v>
      </c>
      <c r="C45" t="s">
        <v>251</v>
      </c>
      <c r="D45" t="s">
        <v>191</v>
      </c>
      <c r="E45">
        <f>_xlfn.XLOOKUP(D45,Regije!B:B,Regije!A:A)</f>
        <v>8</v>
      </c>
      <c r="F45" t="str">
        <f t="shared" si="0"/>
        <v>update postalCodes set RegionID=8 where code=1303;</v>
      </c>
    </row>
    <row r="46" spans="1:6" x14ac:dyDescent="0.3">
      <c r="A46">
        <v>325</v>
      </c>
      <c r="B46">
        <v>1310</v>
      </c>
      <c r="C46" t="s">
        <v>123</v>
      </c>
      <c r="D46" t="s">
        <v>96</v>
      </c>
      <c r="E46">
        <f>_xlfn.XLOOKUP(D46,Regije!B:B,Regije!A:A)</f>
        <v>7</v>
      </c>
      <c r="F46" t="str">
        <f t="shared" si="0"/>
        <v>update postalCodes set RegionID=7 where code=1310;</v>
      </c>
    </row>
    <row r="47" spans="1:6" x14ac:dyDescent="0.3">
      <c r="A47">
        <v>427</v>
      </c>
      <c r="B47">
        <v>1311</v>
      </c>
      <c r="C47" t="s">
        <v>244</v>
      </c>
      <c r="D47" t="s">
        <v>191</v>
      </c>
      <c r="E47">
        <f>_xlfn.XLOOKUP(D47,Regije!B:B,Regije!A:A)</f>
        <v>8</v>
      </c>
      <c r="F47" t="str">
        <f t="shared" si="0"/>
        <v>update postalCodes set RegionID=8 where code=1311;</v>
      </c>
    </row>
    <row r="48" spans="1:6" x14ac:dyDescent="0.3">
      <c r="A48">
        <v>439</v>
      </c>
      <c r="B48">
        <v>1312</v>
      </c>
      <c r="C48" t="s">
        <v>247</v>
      </c>
      <c r="D48" t="s">
        <v>191</v>
      </c>
      <c r="E48">
        <f>_xlfn.XLOOKUP(D48,Regije!B:B,Regije!A:A)</f>
        <v>8</v>
      </c>
      <c r="F48" t="str">
        <f t="shared" si="0"/>
        <v>update postalCodes set RegionID=8 where code=1312;</v>
      </c>
    </row>
    <row r="49" spans="1:6" x14ac:dyDescent="0.3">
      <c r="A49">
        <v>372</v>
      </c>
      <c r="B49">
        <v>1313</v>
      </c>
      <c r="C49" t="s">
        <v>237</v>
      </c>
      <c r="D49" t="s">
        <v>191</v>
      </c>
      <c r="E49">
        <f>_xlfn.XLOOKUP(D49,Regije!B:B,Regije!A:A)</f>
        <v>8</v>
      </c>
      <c r="F49" t="str">
        <f t="shared" si="0"/>
        <v>update postalCodes set RegionID=8 where code=1313;</v>
      </c>
    </row>
    <row r="50" spans="1:6" x14ac:dyDescent="0.3">
      <c r="A50">
        <v>328</v>
      </c>
      <c r="B50">
        <v>1314</v>
      </c>
      <c r="C50" t="s">
        <v>232</v>
      </c>
      <c r="D50" t="s">
        <v>191</v>
      </c>
      <c r="E50">
        <f>_xlfn.XLOOKUP(D50,Regije!B:B,Regije!A:A)</f>
        <v>8</v>
      </c>
      <c r="F50" t="str">
        <f t="shared" si="0"/>
        <v>update postalCodes set RegionID=8 where code=1314;</v>
      </c>
    </row>
    <row r="51" spans="1:6" x14ac:dyDescent="0.3">
      <c r="A51">
        <v>436</v>
      </c>
      <c r="B51">
        <v>1315</v>
      </c>
      <c r="C51" t="s">
        <v>246</v>
      </c>
      <c r="D51" t="s">
        <v>191</v>
      </c>
      <c r="E51">
        <f>_xlfn.XLOOKUP(D51,Regije!B:B,Regije!A:A)</f>
        <v>8</v>
      </c>
      <c r="F51" t="str">
        <f t="shared" si="0"/>
        <v>update postalCodes set RegionID=8 where code=1315;</v>
      </c>
    </row>
    <row r="52" spans="1:6" x14ac:dyDescent="0.3">
      <c r="A52">
        <v>259</v>
      </c>
      <c r="B52">
        <v>1316</v>
      </c>
      <c r="C52" t="s">
        <v>119</v>
      </c>
      <c r="D52" t="s">
        <v>96</v>
      </c>
      <c r="E52">
        <f>_xlfn.XLOOKUP(D52,Regije!B:B,Regije!A:A)</f>
        <v>7</v>
      </c>
      <c r="F52" t="str">
        <f t="shared" si="0"/>
        <v>update postalCodes set RegionID=7 where code=1316;</v>
      </c>
    </row>
    <row r="53" spans="1:6" x14ac:dyDescent="0.3">
      <c r="A53">
        <v>351</v>
      </c>
      <c r="B53">
        <v>1317</v>
      </c>
      <c r="C53" t="s">
        <v>125</v>
      </c>
      <c r="D53" t="s">
        <v>96</v>
      </c>
      <c r="E53">
        <f>_xlfn.XLOOKUP(D53,Regije!B:B,Regije!A:A)</f>
        <v>7</v>
      </c>
      <c r="F53" t="str">
        <f t="shared" si="0"/>
        <v>update postalCodes set RegionID=7 where code=1317;</v>
      </c>
    </row>
    <row r="54" spans="1:6" x14ac:dyDescent="0.3">
      <c r="A54">
        <v>207</v>
      </c>
      <c r="B54">
        <v>1318</v>
      </c>
      <c r="C54" t="s">
        <v>112</v>
      </c>
      <c r="D54" t="s">
        <v>96</v>
      </c>
      <c r="E54">
        <f>_xlfn.XLOOKUP(D54,Regije!B:B,Regije!A:A)</f>
        <v>7</v>
      </c>
      <c r="F54" t="str">
        <f t="shared" si="0"/>
        <v>update postalCodes set RegionID=7 where code=1318;</v>
      </c>
    </row>
    <row r="55" spans="1:6" x14ac:dyDescent="0.3">
      <c r="A55">
        <v>80</v>
      </c>
      <c r="B55">
        <v>1319</v>
      </c>
      <c r="C55" t="s">
        <v>103</v>
      </c>
      <c r="D55" t="s">
        <v>96</v>
      </c>
      <c r="E55">
        <f>_xlfn.XLOOKUP(D55,Regije!B:B,Regije!A:A)</f>
        <v>7</v>
      </c>
      <c r="F55" t="str">
        <f t="shared" si="0"/>
        <v>update postalCodes set RegionID=7 where code=1319;</v>
      </c>
    </row>
    <row r="56" spans="1:6" x14ac:dyDescent="0.3">
      <c r="A56">
        <v>149</v>
      </c>
      <c r="B56">
        <v>1330</v>
      </c>
      <c r="C56" t="s">
        <v>108</v>
      </c>
      <c r="D56" t="s">
        <v>96</v>
      </c>
      <c r="E56">
        <f>_xlfn.XLOOKUP(D56,Regije!B:B,Regije!A:A)</f>
        <v>7</v>
      </c>
      <c r="F56" t="str">
        <f t="shared" si="0"/>
        <v>update postalCodes set RegionID=7 where code=1330;</v>
      </c>
    </row>
    <row r="57" spans="1:6" x14ac:dyDescent="0.3">
      <c r="A57">
        <v>75</v>
      </c>
      <c r="B57">
        <v>1331</v>
      </c>
      <c r="C57" t="s">
        <v>101</v>
      </c>
      <c r="D57" t="s">
        <v>96</v>
      </c>
      <c r="E57">
        <f>_xlfn.XLOOKUP(D57,Regije!B:B,Regije!A:A)</f>
        <v>7</v>
      </c>
      <c r="F57" t="str">
        <f t="shared" si="0"/>
        <v>update postalCodes set RegionID=7 where code=1331;</v>
      </c>
    </row>
    <row r="58" spans="1:6" x14ac:dyDescent="0.3">
      <c r="A58">
        <v>364</v>
      </c>
      <c r="B58">
        <v>1332</v>
      </c>
      <c r="C58" t="s">
        <v>126</v>
      </c>
      <c r="D58" t="s">
        <v>96</v>
      </c>
      <c r="E58">
        <f>_xlfn.XLOOKUP(D58,Regije!B:B,Regije!A:A)</f>
        <v>7</v>
      </c>
      <c r="F58" t="str">
        <f t="shared" si="0"/>
        <v>update postalCodes set RegionID=7 where code=1332;</v>
      </c>
    </row>
    <row r="59" spans="1:6" x14ac:dyDescent="0.3">
      <c r="A59">
        <v>160</v>
      </c>
      <c r="B59">
        <v>1336</v>
      </c>
      <c r="C59" t="s">
        <v>111</v>
      </c>
      <c r="D59" t="s">
        <v>96</v>
      </c>
      <c r="E59">
        <f>_xlfn.XLOOKUP(D59,Regije!B:B,Regije!A:A)</f>
        <v>7</v>
      </c>
      <c r="F59" t="str">
        <f t="shared" si="0"/>
        <v>update postalCodes set RegionID=7 where code=1336;</v>
      </c>
    </row>
    <row r="60" spans="1:6" x14ac:dyDescent="0.3">
      <c r="A60">
        <v>260</v>
      </c>
      <c r="B60">
        <v>1337</v>
      </c>
      <c r="C60" t="s">
        <v>120</v>
      </c>
      <c r="D60" t="s">
        <v>96</v>
      </c>
      <c r="E60">
        <f>_xlfn.XLOOKUP(D60,Regije!B:B,Regije!A:A)</f>
        <v>7</v>
      </c>
      <c r="F60" t="str">
        <f t="shared" si="0"/>
        <v>update postalCodes set RegionID=7 where code=1337;</v>
      </c>
    </row>
    <row r="61" spans="1:6" x14ac:dyDescent="0.3">
      <c r="A61">
        <v>150</v>
      </c>
      <c r="B61">
        <v>1338</v>
      </c>
      <c r="C61" t="s">
        <v>109</v>
      </c>
      <c r="D61" t="s">
        <v>96</v>
      </c>
      <c r="E61">
        <f>_xlfn.XLOOKUP(D61,Regije!B:B,Regije!A:A)</f>
        <v>7</v>
      </c>
      <c r="F61" t="str">
        <f t="shared" si="0"/>
        <v>update postalCodes set RegionID=7 where code=1338;</v>
      </c>
    </row>
    <row r="62" spans="1:6" x14ac:dyDescent="0.3">
      <c r="A62">
        <v>31</v>
      </c>
      <c r="B62">
        <v>1351</v>
      </c>
      <c r="C62" t="s">
        <v>193</v>
      </c>
      <c r="D62" t="s">
        <v>191</v>
      </c>
      <c r="E62">
        <f>_xlfn.XLOOKUP(D62,Regije!B:B,Regije!A:A)</f>
        <v>8</v>
      </c>
      <c r="F62" t="str">
        <f t="shared" si="0"/>
        <v>update postalCodes set RegionID=8 where code=1351;</v>
      </c>
    </row>
    <row r="63" spans="1:6" x14ac:dyDescent="0.3">
      <c r="A63">
        <v>301</v>
      </c>
      <c r="B63">
        <v>1352</v>
      </c>
      <c r="C63" t="s">
        <v>229</v>
      </c>
      <c r="D63" t="s">
        <v>191</v>
      </c>
      <c r="E63">
        <f>_xlfn.XLOOKUP(D63,Regije!B:B,Regije!A:A)</f>
        <v>8</v>
      </c>
      <c r="F63" t="str">
        <f t="shared" si="0"/>
        <v>update postalCodes set RegionID=8 where code=1352;</v>
      </c>
    </row>
    <row r="64" spans="1:6" x14ac:dyDescent="0.3">
      <c r="A64">
        <v>22</v>
      </c>
      <c r="B64">
        <v>1353</v>
      </c>
      <c r="C64" t="s">
        <v>192</v>
      </c>
      <c r="D64" t="s">
        <v>191</v>
      </c>
      <c r="E64">
        <f>_xlfn.XLOOKUP(D64,Regije!B:B,Regije!A:A)</f>
        <v>8</v>
      </c>
      <c r="F64" t="str">
        <f t="shared" si="0"/>
        <v>update postalCodes set RegionID=8 where code=1353;</v>
      </c>
    </row>
    <row r="65" spans="1:6" x14ac:dyDescent="0.3">
      <c r="A65">
        <v>115</v>
      </c>
      <c r="B65">
        <v>1354</v>
      </c>
      <c r="C65" t="s">
        <v>201</v>
      </c>
      <c r="D65" t="s">
        <v>191</v>
      </c>
      <c r="E65">
        <f>_xlfn.XLOOKUP(D65,Regije!B:B,Regije!A:A)</f>
        <v>8</v>
      </c>
      <c r="F65" t="str">
        <f t="shared" si="0"/>
        <v>update postalCodes set RegionID=8 where code=1354;</v>
      </c>
    </row>
    <row r="66" spans="1:6" x14ac:dyDescent="0.3">
      <c r="A66">
        <v>289</v>
      </c>
      <c r="B66">
        <v>1355</v>
      </c>
      <c r="C66" t="s">
        <v>227</v>
      </c>
      <c r="D66" t="s">
        <v>191</v>
      </c>
      <c r="E66">
        <f>_xlfn.XLOOKUP(D66,Regije!B:B,Regije!A:A)</f>
        <v>8</v>
      </c>
      <c r="F66" t="str">
        <f t="shared" si="0"/>
        <v>update postalCodes set RegionID=8 where code=1355;</v>
      </c>
    </row>
    <row r="67" spans="1:6" x14ac:dyDescent="0.3">
      <c r="A67">
        <v>69</v>
      </c>
      <c r="B67">
        <v>1356</v>
      </c>
      <c r="C67" t="s">
        <v>195</v>
      </c>
      <c r="D67" t="s">
        <v>191</v>
      </c>
      <c r="E67">
        <f>_xlfn.XLOOKUP(D67,Regije!B:B,Regije!A:A)</f>
        <v>8</v>
      </c>
      <c r="F67" t="str">
        <f t="shared" ref="F67:F130" si="1">"update postalCodes set RegionID="&amp;E67&amp;" where code="&amp;B67&amp;";"</f>
        <v>update postalCodes set RegionID=8 where code=1356;</v>
      </c>
    </row>
    <row r="68" spans="1:6" x14ac:dyDescent="0.3">
      <c r="A68">
        <v>247</v>
      </c>
      <c r="B68">
        <v>1357</v>
      </c>
      <c r="C68" t="s">
        <v>226</v>
      </c>
      <c r="D68" t="s">
        <v>191</v>
      </c>
      <c r="E68">
        <f>_xlfn.XLOOKUP(D68,Regije!B:B,Regije!A:A)</f>
        <v>8</v>
      </c>
      <c r="F68" t="str">
        <f t="shared" si="1"/>
        <v>update postalCodes set RegionID=8 where code=1357;</v>
      </c>
    </row>
    <row r="69" spans="1:6" x14ac:dyDescent="0.3">
      <c r="A69">
        <v>202</v>
      </c>
      <c r="B69">
        <v>1358</v>
      </c>
      <c r="C69" t="s">
        <v>219</v>
      </c>
      <c r="D69" t="s">
        <v>191</v>
      </c>
      <c r="E69">
        <f>_xlfn.XLOOKUP(D69,Regije!B:B,Regije!A:A)</f>
        <v>8</v>
      </c>
      <c r="F69" t="str">
        <f t="shared" si="1"/>
        <v>update postalCodes set RegionID=8 where code=1358;</v>
      </c>
    </row>
    <row r="70" spans="1:6" x14ac:dyDescent="0.3">
      <c r="A70">
        <v>453</v>
      </c>
      <c r="B70">
        <v>1360</v>
      </c>
      <c r="C70" t="s">
        <v>250</v>
      </c>
      <c r="D70" t="s">
        <v>191</v>
      </c>
      <c r="E70">
        <f>_xlfn.XLOOKUP(D70,Regije!B:B,Regije!A:A)</f>
        <v>8</v>
      </c>
      <c r="F70" t="str">
        <f t="shared" si="1"/>
        <v>update postalCodes set RegionID=8 where code=1360;</v>
      </c>
    </row>
    <row r="71" spans="1:6" x14ac:dyDescent="0.3">
      <c r="A71">
        <v>203</v>
      </c>
      <c r="B71">
        <v>1370</v>
      </c>
      <c r="C71" t="s">
        <v>220</v>
      </c>
      <c r="D71" t="s">
        <v>191</v>
      </c>
      <c r="E71">
        <f>_xlfn.XLOOKUP(D71,Regije!B:B,Regije!A:A)</f>
        <v>8</v>
      </c>
      <c r="F71" t="str">
        <f t="shared" si="1"/>
        <v>update postalCodes set RegionID=8 where code=1370;</v>
      </c>
    </row>
    <row r="72" spans="1:6" x14ac:dyDescent="0.3">
      <c r="A72">
        <v>116</v>
      </c>
      <c r="B72">
        <v>1372</v>
      </c>
      <c r="C72" t="s">
        <v>202</v>
      </c>
      <c r="D72" t="s">
        <v>191</v>
      </c>
      <c r="E72">
        <f>_xlfn.XLOOKUP(D72,Regije!B:B,Regije!A:A)</f>
        <v>8</v>
      </c>
      <c r="F72" t="str">
        <f t="shared" si="1"/>
        <v>update postalCodes set RegionID=8 where code=1372;</v>
      </c>
    </row>
    <row r="73" spans="1:6" x14ac:dyDescent="0.3">
      <c r="A73">
        <v>333</v>
      </c>
      <c r="B73">
        <v>1373</v>
      </c>
      <c r="C73" t="s">
        <v>233</v>
      </c>
      <c r="D73" t="s">
        <v>191</v>
      </c>
      <c r="E73">
        <f>_xlfn.XLOOKUP(D73,Regije!B:B,Regije!A:A)</f>
        <v>8</v>
      </c>
      <c r="F73" t="str">
        <f t="shared" si="1"/>
        <v>update postalCodes set RegionID=8 where code=1373;</v>
      </c>
    </row>
    <row r="74" spans="1:6" x14ac:dyDescent="0.3">
      <c r="A74">
        <v>42</v>
      </c>
      <c r="B74">
        <v>1380</v>
      </c>
      <c r="C74" t="s">
        <v>403</v>
      </c>
      <c r="D74" t="s">
        <v>402</v>
      </c>
      <c r="E74">
        <f>_xlfn.XLOOKUP(D74,Regije!B:B,Regije!A:A)</f>
        <v>10</v>
      </c>
      <c r="F74" t="str">
        <f t="shared" si="1"/>
        <v>update postalCodes set RegionID=10 where code=1380;</v>
      </c>
    </row>
    <row r="75" spans="1:6" x14ac:dyDescent="0.3">
      <c r="A75">
        <v>319</v>
      </c>
      <c r="B75">
        <v>1381</v>
      </c>
      <c r="C75" t="s">
        <v>417</v>
      </c>
      <c r="D75" t="s">
        <v>402</v>
      </c>
      <c r="E75">
        <f>_xlfn.XLOOKUP(D75,Regije!B:B,Regije!A:A)</f>
        <v>10</v>
      </c>
      <c r="F75" t="str">
        <f t="shared" si="1"/>
        <v>update postalCodes set RegionID=10 where code=1381;</v>
      </c>
    </row>
    <row r="76" spans="1:6" x14ac:dyDescent="0.3">
      <c r="A76">
        <v>7</v>
      </c>
      <c r="B76">
        <v>1382</v>
      </c>
      <c r="C76" t="s">
        <v>401</v>
      </c>
      <c r="D76" t="s">
        <v>402</v>
      </c>
      <c r="E76">
        <f>_xlfn.XLOOKUP(D76,Regije!B:B,Regije!A:A)</f>
        <v>10</v>
      </c>
      <c r="F76" t="str">
        <f t="shared" si="1"/>
        <v>update postalCodes set RegionID=10 where code=1382;</v>
      </c>
    </row>
    <row r="77" spans="1:6" x14ac:dyDescent="0.3">
      <c r="A77">
        <v>105</v>
      </c>
      <c r="B77">
        <v>1384</v>
      </c>
      <c r="C77" t="s">
        <v>404</v>
      </c>
      <c r="D77" t="s">
        <v>402</v>
      </c>
      <c r="E77">
        <f>_xlfn.XLOOKUP(D77,Regije!B:B,Regije!A:A)</f>
        <v>10</v>
      </c>
      <c r="F77" t="str">
        <f t="shared" si="1"/>
        <v>update postalCodes set RegionID=10 where code=1384;</v>
      </c>
    </row>
    <row r="78" spans="1:6" x14ac:dyDescent="0.3">
      <c r="A78">
        <v>251</v>
      </c>
      <c r="B78">
        <v>1385</v>
      </c>
      <c r="C78" t="s">
        <v>411</v>
      </c>
      <c r="D78" t="s">
        <v>402</v>
      </c>
      <c r="E78">
        <f>_xlfn.XLOOKUP(D78,Regije!B:B,Regije!A:A)</f>
        <v>10</v>
      </c>
      <c r="F78" t="str">
        <f t="shared" si="1"/>
        <v>update postalCodes set RegionID=10 where code=1385;</v>
      </c>
    </row>
    <row r="79" spans="1:6" x14ac:dyDescent="0.3">
      <c r="A79">
        <v>366</v>
      </c>
      <c r="B79">
        <v>1386</v>
      </c>
      <c r="C79" t="s">
        <v>418</v>
      </c>
      <c r="D79" t="s">
        <v>402</v>
      </c>
      <c r="E79">
        <f>_xlfn.XLOOKUP(D79,Regije!B:B,Regije!A:A)</f>
        <v>10</v>
      </c>
      <c r="F79" t="str">
        <f t="shared" si="1"/>
        <v>update postalCodes set RegionID=10 where code=1386;</v>
      </c>
    </row>
    <row r="80" spans="1:6" x14ac:dyDescent="0.3">
      <c r="A80">
        <v>457</v>
      </c>
      <c r="B80">
        <v>1410</v>
      </c>
      <c r="C80" t="s">
        <v>499</v>
      </c>
      <c r="D80" t="s">
        <v>491</v>
      </c>
      <c r="E80">
        <f>_xlfn.XLOOKUP(D80,Regije!B:B,Regije!A:A)</f>
        <v>5</v>
      </c>
      <c r="F80" t="str">
        <f t="shared" si="1"/>
        <v>update postalCodes set RegionID=5 where code=1410;</v>
      </c>
    </row>
    <row r="81" spans="1:6" x14ac:dyDescent="0.3">
      <c r="A81">
        <v>126</v>
      </c>
      <c r="B81">
        <v>1411</v>
      </c>
      <c r="C81" t="s">
        <v>495</v>
      </c>
      <c r="D81" t="s">
        <v>491</v>
      </c>
      <c r="E81">
        <f>_xlfn.XLOOKUP(D81,Regije!B:B,Regije!A:A)</f>
        <v>5</v>
      </c>
      <c r="F81" t="str">
        <f t="shared" si="1"/>
        <v>update postalCodes set RegionID=5 where code=1411;</v>
      </c>
    </row>
    <row r="82" spans="1:6" x14ac:dyDescent="0.3">
      <c r="A82">
        <v>145</v>
      </c>
      <c r="B82">
        <v>1412</v>
      </c>
      <c r="C82" t="s">
        <v>496</v>
      </c>
      <c r="D82" t="s">
        <v>491</v>
      </c>
      <c r="E82">
        <f>_xlfn.XLOOKUP(D82,Regije!B:B,Regije!A:A)</f>
        <v>5</v>
      </c>
      <c r="F82" t="str">
        <f t="shared" si="1"/>
        <v>update postalCodes set RegionID=5 where code=1412;</v>
      </c>
    </row>
    <row r="83" spans="1:6" x14ac:dyDescent="0.3">
      <c r="A83">
        <v>50</v>
      </c>
      <c r="B83">
        <v>1413</v>
      </c>
      <c r="C83" t="s">
        <v>490</v>
      </c>
      <c r="D83" t="s">
        <v>491</v>
      </c>
      <c r="E83">
        <f>_xlfn.XLOOKUP(D83,Regije!B:B,Regije!A:A)</f>
        <v>5</v>
      </c>
      <c r="F83" t="str">
        <f t="shared" si="1"/>
        <v>update postalCodes set RegionID=5 where code=1413;</v>
      </c>
    </row>
    <row r="84" spans="1:6" x14ac:dyDescent="0.3">
      <c r="A84">
        <v>280</v>
      </c>
      <c r="B84">
        <v>1414</v>
      </c>
      <c r="C84" t="s">
        <v>497</v>
      </c>
      <c r="D84" t="s">
        <v>491</v>
      </c>
      <c r="E84">
        <f>_xlfn.XLOOKUP(D84,Regije!B:B,Regije!A:A)</f>
        <v>5</v>
      </c>
      <c r="F84" t="str">
        <f t="shared" si="1"/>
        <v>update postalCodes set RegionID=5 where code=1414;</v>
      </c>
    </row>
    <row r="85" spans="1:6" x14ac:dyDescent="0.3">
      <c r="A85">
        <v>418</v>
      </c>
      <c r="B85">
        <v>1420</v>
      </c>
      <c r="C85" t="s">
        <v>498</v>
      </c>
      <c r="D85" t="s">
        <v>491</v>
      </c>
      <c r="E85">
        <f>_xlfn.XLOOKUP(D85,Regije!B:B,Regije!A:A)</f>
        <v>5</v>
      </c>
      <c r="F85" t="str">
        <f t="shared" si="1"/>
        <v>update postalCodes set RegionID=5 where code=1420;</v>
      </c>
    </row>
    <row r="86" spans="1:6" x14ac:dyDescent="0.3">
      <c r="A86">
        <v>65</v>
      </c>
      <c r="B86">
        <v>1423</v>
      </c>
      <c r="C86" t="s">
        <v>492</v>
      </c>
      <c r="D86" t="s">
        <v>491</v>
      </c>
      <c r="E86">
        <f>_xlfn.XLOOKUP(D86,Regije!B:B,Regije!A:A)</f>
        <v>5</v>
      </c>
      <c r="F86" t="str">
        <f t="shared" si="1"/>
        <v>update postalCodes set RegionID=5 where code=1423;</v>
      </c>
    </row>
    <row r="87" spans="1:6" x14ac:dyDescent="0.3">
      <c r="A87">
        <v>117</v>
      </c>
      <c r="B87">
        <v>1430</v>
      </c>
      <c r="C87" t="s">
        <v>494</v>
      </c>
      <c r="D87" t="s">
        <v>491</v>
      </c>
      <c r="E87">
        <f>_xlfn.XLOOKUP(D87,Regije!B:B,Regije!A:A)</f>
        <v>5</v>
      </c>
      <c r="F87" t="str">
        <f t="shared" si="1"/>
        <v>update postalCodes set RegionID=5 where code=1430;</v>
      </c>
    </row>
    <row r="88" spans="1:6" x14ac:dyDescent="0.3">
      <c r="A88">
        <v>72</v>
      </c>
      <c r="B88">
        <v>1431</v>
      </c>
      <c r="C88" t="s">
        <v>493</v>
      </c>
      <c r="D88" t="s">
        <v>491</v>
      </c>
      <c r="E88">
        <f>_xlfn.XLOOKUP(D88,Regije!B:B,Regije!A:A)</f>
        <v>5</v>
      </c>
      <c r="F88" t="str">
        <f t="shared" si="1"/>
        <v>update postalCodes set RegionID=5 where code=1431;</v>
      </c>
    </row>
    <row r="89" spans="1:6" x14ac:dyDescent="0.3">
      <c r="A89">
        <v>470</v>
      </c>
      <c r="B89">
        <v>1432</v>
      </c>
      <c r="C89" t="s">
        <v>400</v>
      </c>
      <c r="D89" t="s">
        <v>371</v>
      </c>
      <c r="E89">
        <f>_xlfn.XLOOKUP(D89,Regije!B:B,Regije!A:A)</f>
        <v>6</v>
      </c>
      <c r="F89" t="str">
        <f t="shared" si="1"/>
        <v>update postalCodes set RegionID=6 where code=1432;</v>
      </c>
    </row>
    <row r="90" spans="1:6" x14ac:dyDescent="0.3">
      <c r="A90">
        <v>313</v>
      </c>
      <c r="B90">
        <v>1433</v>
      </c>
      <c r="C90" t="s">
        <v>390</v>
      </c>
      <c r="D90" t="s">
        <v>371</v>
      </c>
      <c r="E90">
        <f>_xlfn.XLOOKUP(D90,Regije!B:B,Regije!A:A)</f>
        <v>6</v>
      </c>
      <c r="F90" t="str">
        <f t="shared" si="1"/>
        <v>update postalCodes set RegionID=6 where code=1433;</v>
      </c>
    </row>
    <row r="91" spans="1:6" x14ac:dyDescent="0.3">
      <c r="A91">
        <v>204</v>
      </c>
      <c r="B91">
        <v>1434</v>
      </c>
      <c r="C91" t="s">
        <v>388</v>
      </c>
      <c r="D91" t="s">
        <v>371</v>
      </c>
      <c r="E91">
        <f>_xlfn.XLOOKUP(D91,Regije!B:B,Regije!A:A)</f>
        <v>6</v>
      </c>
      <c r="F91" t="str">
        <f t="shared" si="1"/>
        <v>update postalCodes set RegionID=6 where code=1434;</v>
      </c>
    </row>
    <row r="92" spans="1:6" x14ac:dyDescent="0.3">
      <c r="A92">
        <v>218</v>
      </c>
      <c r="B92">
        <v>2000</v>
      </c>
      <c r="C92" t="s">
        <v>284</v>
      </c>
      <c r="D92" t="s">
        <v>253</v>
      </c>
      <c r="E92">
        <f>_xlfn.XLOOKUP(D92,Regije!B:B,Regije!A:A)</f>
        <v>2</v>
      </c>
      <c r="F92" t="str">
        <f t="shared" si="1"/>
        <v>update postalCodes set RegionID=2 where code=2000;</v>
      </c>
    </row>
    <row r="93" spans="1:6" x14ac:dyDescent="0.3">
      <c r="A93">
        <v>219</v>
      </c>
      <c r="B93">
        <v>2001</v>
      </c>
      <c r="C93" t="s">
        <v>285</v>
      </c>
      <c r="D93" t="s">
        <v>253</v>
      </c>
      <c r="E93">
        <f>_xlfn.XLOOKUP(D93,Regije!B:B,Regije!A:A)</f>
        <v>2</v>
      </c>
      <c r="F93" t="str">
        <f t="shared" si="1"/>
        <v>update postalCodes set RegionID=2 where code=2001;</v>
      </c>
    </row>
    <row r="94" spans="1:6" x14ac:dyDescent="0.3">
      <c r="A94">
        <v>463</v>
      </c>
      <c r="B94">
        <v>2201</v>
      </c>
      <c r="C94" t="s">
        <v>326</v>
      </c>
      <c r="D94" t="s">
        <v>253</v>
      </c>
      <c r="E94">
        <f>_xlfn.XLOOKUP(D94,Regije!B:B,Regije!A:A)</f>
        <v>2</v>
      </c>
      <c r="F94" t="str">
        <f t="shared" si="1"/>
        <v>update postalCodes set RegionID=2 where code=2201;</v>
      </c>
    </row>
    <row r="95" spans="1:6" x14ac:dyDescent="0.3">
      <c r="A95">
        <v>229</v>
      </c>
      <c r="B95">
        <v>2204</v>
      </c>
      <c r="C95" t="s">
        <v>288</v>
      </c>
      <c r="D95" t="s">
        <v>253</v>
      </c>
      <c r="E95">
        <f>_xlfn.XLOOKUP(D95,Regije!B:B,Regije!A:A)</f>
        <v>2</v>
      </c>
      <c r="F95" t="str">
        <f t="shared" si="1"/>
        <v>update postalCodes set RegionID=2 where code=2204;</v>
      </c>
    </row>
    <row r="96" spans="1:6" x14ac:dyDescent="0.3">
      <c r="A96">
        <v>367</v>
      </c>
      <c r="B96">
        <v>2205</v>
      </c>
      <c r="C96" t="s">
        <v>311</v>
      </c>
      <c r="D96" t="s">
        <v>253</v>
      </c>
      <c r="E96">
        <f>_xlfn.XLOOKUP(D96,Regije!B:B,Regije!A:A)</f>
        <v>2</v>
      </c>
      <c r="F96" t="str">
        <f t="shared" si="1"/>
        <v>update postalCodes set RegionID=2 where code=2205;</v>
      </c>
    </row>
    <row r="97" spans="1:6" x14ac:dyDescent="0.3">
      <c r="A97">
        <v>220</v>
      </c>
      <c r="B97">
        <v>2206</v>
      </c>
      <c r="C97" t="s">
        <v>286</v>
      </c>
      <c r="D97" t="s">
        <v>253</v>
      </c>
      <c r="E97">
        <f>_xlfn.XLOOKUP(D97,Regije!B:B,Regije!A:A)</f>
        <v>2</v>
      </c>
      <c r="F97" t="str">
        <f t="shared" si="1"/>
        <v>update postalCodes set RegionID=2 where code=2206;</v>
      </c>
    </row>
    <row r="98" spans="1:6" x14ac:dyDescent="0.3">
      <c r="A98">
        <v>287</v>
      </c>
      <c r="B98">
        <v>2208</v>
      </c>
      <c r="C98" t="s">
        <v>298</v>
      </c>
      <c r="D98" t="s">
        <v>253</v>
      </c>
      <c r="E98">
        <f>_xlfn.XLOOKUP(D98,Regije!B:B,Regije!A:A)</f>
        <v>2</v>
      </c>
      <c r="F98" t="str">
        <f t="shared" si="1"/>
        <v>update postalCodes set RegionID=2 where code=2208;</v>
      </c>
    </row>
    <row r="99" spans="1:6" x14ac:dyDescent="0.3">
      <c r="A99">
        <v>264</v>
      </c>
      <c r="B99">
        <v>2211</v>
      </c>
      <c r="C99" t="s">
        <v>295</v>
      </c>
      <c r="D99" t="s">
        <v>253</v>
      </c>
      <c r="E99">
        <f>_xlfn.XLOOKUP(D99,Regije!B:B,Regije!A:A)</f>
        <v>2</v>
      </c>
      <c r="F99" t="str">
        <f t="shared" si="1"/>
        <v>update postalCodes set RegionID=2 where code=2211;</v>
      </c>
    </row>
    <row r="100" spans="1:6" x14ac:dyDescent="0.3">
      <c r="A100">
        <v>386</v>
      </c>
      <c r="B100">
        <v>2212</v>
      </c>
      <c r="C100" t="s">
        <v>317</v>
      </c>
      <c r="D100" t="s">
        <v>253</v>
      </c>
      <c r="E100">
        <f>_xlfn.XLOOKUP(D100,Regije!B:B,Regije!A:A)</f>
        <v>2</v>
      </c>
      <c r="F100" t="str">
        <f t="shared" si="1"/>
        <v>update postalCodes set RegionID=2 where code=2212;</v>
      </c>
    </row>
    <row r="101" spans="1:6" x14ac:dyDescent="0.3">
      <c r="A101">
        <v>466</v>
      </c>
      <c r="B101">
        <v>2213</v>
      </c>
      <c r="C101" t="s">
        <v>329</v>
      </c>
      <c r="D101" t="s">
        <v>253</v>
      </c>
      <c r="E101">
        <f>_xlfn.XLOOKUP(D101,Regije!B:B,Regije!A:A)</f>
        <v>2</v>
      </c>
      <c r="F101" t="str">
        <f t="shared" si="1"/>
        <v>update postalCodes set RegionID=2 where code=2213;</v>
      </c>
    </row>
    <row r="102" spans="1:6" x14ac:dyDescent="0.3">
      <c r="A102">
        <v>344</v>
      </c>
      <c r="B102">
        <v>2214</v>
      </c>
      <c r="C102" t="s">
        <v>307</v>
      </c>
      <c r="D102" t="s">
        <v>253</v>
      </c>
      <c r="E102">
        <f>_xlfn.XLOOKUP(D102,Regije!B:B,Regije!A:A)</f>
        <v>2</v>
      </c>
      <c r="F102" t="str">
        <f t="shared" si="1"/>
        <v>update postalCodes set RegionID=2 where code=2214;</v>
      </c>
    </row>
    <row r="103" spans="1:6" x14ac:dyDescent="0.3">
      <c r="A103">
        <v>45</v>
      </c>
      <c r="B103">
        <v>2215</v>
      </c>
      <c r="C103" t="s">
        <v>257</v>
      </c>
      <c r="D103" t="s">
        <v>253</v>
      </c>
      <c r="E103">
        <f>_xlfn.XLOOKUP(D103,Regije!B:B,Regije!A:A)</f>
        <v>2</v>
      </c>
      <c r="F103" t="str">
        <f t="shared" si="1"/>
        <v>update postalCodes set RegionID=2 where code=2215;</v>
      </c>
    </row>
    <row r="104" spans="1:6" x14ac:dyDescent="0.3">
      <c r="A104">
        <v>129</v>
      </c>
      <c r="B104">
        <v>2221</v>
      </c>
      <c r="C104" t="s">
        <v>269</v>
      </c>
      <c r="D104" t="s">
        <v>253</v>
      </c>
      <c r="E104">
        <f>_xlfn.XLOOKUP(D104,Regije!B:B,Regije!A:A)</f>
        <v>2</v>
      </c>
      <c r="F104" t="str">
        <f t="shared" si="1"/>
        <v>update postalCodes set RegionID=2 where code=2221;</v>
      </c>
    </row>
    <row r="105" spans="1:6" x14ac:dyDescent="0.3">
      <c r="A105">
        <v>128</v>
      </c>
      <c r="B105">
        <v>2222</v>
      </c>
      <c r="C105" t="s">
        <v>268</v>
      </c>
      <c r="D105" t="s">
        <v>253</v>
      </c>
      <c r="E105">
        <f>_xlfn.XLOOKUP(D105,Regije!B:B,Regije!A:A)</f>
        <v>2</v>
      </c>
      <c r="F105" t="str">
        <f t="shared" si="1"/>
        <v>update postalCodes set RegionID=2 where code=2222;</v>
      </c>
    </row>
    <row r="106" spans="1:6" x14ac:dyDescent="0.3">
      <c r="A106">
        <v>134</v>
      </c>
      <c r="B106">
        <v>2223</v>
      </c>
      <c r="C106" t="s">
        <v>270</v>
      </c>
      <c r="D106" t="s">
        <v>253</v>
      </c>
      <c r="E106">
        <f>_xlfn.XLOOKUP(D106,Regije!B:B,Regije!A:A)</f>
        <v>2</v>
      </c>
      <c r="F106" t="str">
        <f t="shared" si="1"/>
        <v>update postalCodes set RegionID=2 where code=2223;</v>
      </c>
    </row>
    <row r="107" spans="1:6" x14ac:dyDescent="0.3">
      <c r="A107">
        <v>216</v>
      </c>
      <c r="B107">
        <v>2229</v>
      </c>
      <c r="C107" t="s">
        <v>283</v>
      </c>
      <c r="D107" t="s">
        <v>253</v>
      </c>
      <c r="E107">
        <f>_xlfn.XLOOKUP(D107,Regije!B:B,Regije!A:A)</f>
        <v>2</v>
      </c>
      <c r="F107" t="str">
        <f t="shared" si="1"/>
        <v>update postalCodes set RegionID=2 where code=2229;</v>
      </c>
    </row>
    <row r="108" spans="1:6" x14ac:dyDescent="0.3">
      <c r="A108">
        <v>181</v>
      </c>
      <c r="B108">
        <v>2230</v>
      </c>
      <c r="C108" t="s">
        <v>277</v>
      </c>
      <c r="D108" t="s">
        <v>253</v>
      </c>
      <c r="E108">
        <f>_xlfn.XLOOKUP(D108,Regije!B:B,Regije!A:A)</f>
        <v>2</v>
      </c>
      <c r="F108" t="str">
        <f t="shared" si="1"/>
        <v>update postalCodes set RegionID=2 where code=2230;</v>
      </c>
    </row>
    <row r="109" spans="1:6" x14ac:dyDescent="0.3">
      <c r="A109">
        <v>263</v>
      </c>
      <c r="B109">
        <v>2231</v>
      </c>
      <c r="C109" t="s">
        <v>294</v>
      </c>
      <c r="D109" t="s">
        <v>253</v>
      </c>
      <c r="E109">
        <f>_xlfn.XLOOKUP(D109,Regije!B:B,Regije!A:A)</f>
        <v>2</v>
      </c>
      <c r="F109" t="str">
        <f t="shared" si="1"/>
        <v>update postalCodes set RegionID=2 where code=2231;</v>
      </c>
    </row>
    <row r="110" spans="1:6" x14ac:dyDescent="0.3">
      <c r="A110">
        <v>450</v>
      </c>
      <c r="B110">
        <v>2232</v>
      </c>
      <c r="C110" t="s">
        <v>323</v>
      </c>
      <c r="D110" t="s">
        <v>253</v>
      </c>
      <c r="E110">
        <f>_xlfn.XLOOKUP(D110,Regije!B:B,Regije!A:A)</f>
        <v>2</v>
      </c>
      <c r="F110" t="str">
        <f t="shared" si="1"/>
        <v>update postalCodes set RegionID=2 where code=2232;</v>
      </c>
    </row>
    <row r="111" spans="1:6" x14ac:dyDescent="0.3">
      <c r="A111">
        <v>376</v>
      </c>
      <c r="B111">
        <v>2233</v>
      </c>
      <c r="C111" t="s">
        <v>314</v>
      </c>
      <c r="D111" t="s">
        <v>253</v>
      </c>
      <c r="E111">
        <f>_xlfn.XLOOKUP(D111,Regije!B:B,Regije!A:A)</f>
        <v>2</v>
      </c>
      <c r="F111" t="str">
        <f t="shared" si="1"/>
        <v>update postalCodes set RegionID=2 where code=2233;</v>
      </c>
    </row>
    <row r="112" spans="1:6" x14ac:dyDescent="0.3">
      <c r="A112">
        <v>9</v>
      </c>
      <c r="B112">
        <v>2234</v>
      </c>
      <c r="C112" t="s">
        <v>252</v>
      </c>
      <c r="D112" t="s">
        <v>253</v>
      </c>
      <c r="E112">
        <f>_xlfn.XLOOKUP(D112,Regije!B:B,Regije!A:A)</f>
        <v>2</v>
      </c>
      <c r="F112" t="str">
        <f t="shared" si="1"/>
        <v>update postalCodes set RegionID=2 where code=2234;</v>
      </c>
    </row>
    <row r="113" spans="1:6" x14ac:dyDescent="0.3">
      <c r="A113">
        <v>377</v>
      </c>
      <c r="B113">
        <v>2235</v>
      </c>
      <c r="C113" t="s">
        <v>315</v>
      </c>
      <c r="D113" t="s">
        <v>253</v>
      </c>
      <c r="E113">
        <f>_xlfn.XLOOKUP(D113,Regije!B:B,Regije!A:A)</f>
        <v>2</v>
      </c>
      <c r="F113" t="str">
        <f t="shared" si="1"/>
        <v>update postalCodes set RegionID=2 where code=2235;</v>
      </c>
    </row>
    <row r="114" spans="1:6" x14ac:dyDescent="0.3">
      <c r="A114">
        <v>44</v>
      </c>
      <c r="B114">
        <v>2236</v>
      </c>
      <c r="C114" t="s">
        <v>256</v>
      </c>
      <c r="D114" t="s">
        <v>253</v>
      </c>
      <c r="E114">
        <f>_xlfn.XLOOKUP(D114,Regije!B:B,Regije!A:A)</f>
        <v>2</v>
      </c>
      <c r="F114" t="str">
        <f t="shared" si="1"/>
        <v>update postalCodes set RegionID=2 where code=2236;</v>
      </c>
    </row>
    <row r="115" spans="1:6" x14ac:dyDescent="0.3">
      <c r="A115">
        <v>357</v>
      </c>
      <c r="B115">
        <v>2241</v>
      </c>
      <c r="C115" t="s">
        <v>309</v>
      </c>
      <c r="D115" t="s">
        <v>253</v>
      </c>
      <c r="E115">
        <f>_xlfn.XLOOKUP(D115,Regije!B:B,Regije!A:A)</f>
        <v>2</v>
      </c>
      <c r="F115" t="str">
        <f t="shared" si="1"/>
        <v>update postalCodes set RegionID=2 where code=2241;</v>
      </c>
    </row>
    <row r="116" spans="1:6" x14ac:dyDescent="0.3">
      <c r="A116">
        <v>462</v>
      </c>
      <c r="B116">
        <v>2242</v>
      </c>
      <c r="C116" t="s">
        <v>325</v>
      </c>
      <c r="D116" t="s">
        <v>253</v>
      </c>
      <c r="E116">
        <f>_xlfn.XLOOKUP(D116,Regije!B:B,Regije!A:A)</f>
        <v>2</v>
      </c>
      <c r="F116" t="str">
        <f t="shared" si="1"/>
        <v>update postalCodes set RegionID=2 where code=2242;</v>
      </c>
    </row>
    <row r="117" spans="1:6" x14ac:dyDescent="0.3">
      <c r="A117">
        <v>309</v>
      </c>
      <c r="B117">
        <v>2250</v>
      </c>
      <c r="C117" t="s">
        <v>302</v>
      </c>
      <c r="D117" t="s">
        <v>253</v>
      </c>
      <c r="E117">
        <f>_xlfn.XLOOKUP(D117,Regije!B:B,Regije!A:A)</f>
        <v>2</v>
      </c>
      <c r="F117" t="str">
        <f t="shared" si="1"/>
        <v>update postalCodes set RegionID=2 where code=2250;</v>
      </c>
    </row>
    <row r="118" spans="1:6" x14ac:dyDescent="0.3">
      <c r="A118">
        <v>78</v>
      </c>
      <c r="B118">
        <v>2252</v>
      </c>
      <c r="C118" t="s">
        <v>261</v>
      </c>
      <c r="D118" t="s">
        <v>253</v>
      </c>
      <c r="E118">
        <f>_xlfn.XLOOKUP(D118,Regije!B:B,Regije!A:A)</f>
        <v>2</v>
      </c>
      <c r="F118" t="str">
        <f t="shared" si="1"/>
        <v>update postalCodes set RegionID=2 where code=2252;</v>
      </c>
    </row>
    <row r="119" spans="1:6" x14ac:dyDescent="0.3">
      <c r="A119">
        <v>60</v>
      </c>
      <c r="B119">
        <v>2253</v>
      </c>
      <c r="C119" t="s">
        <v>260</v>
      </c>
      <c r="D119" t="s">
        <v>253</v>
      </c>
      <c r="E119">
        <f>_xlfn.XLOOKUP(D119,Regije!B:B,Regije!A:A)</f>
        <v>2</v>
      </c>
      <c r="F119" t="str">
        <f t="shared" si="1"/>
        <v>update postalCodes set RegionID=2 where code=2253;</v>
      </c>
    </row>
    <row r="120" spans="1:6" x14ac:dyDescent="0.3">
      <c r="A120">
        <v>422</v>
      </c>
      <c r="B120">
        <v>2254</v>
      </c>
      <c r="C120" t="s">
        <v>319</v>
      </c>
      <c r="D120" t="s">
        <v>253</v>
      </c>
      <c r="E120">
        <f>_xlfn.XLOOKUP(D120,Regije!B:B,Regije!A:A)</f>
        <v>2</v>
      </c>
      <c r="F120" t="str">
        <f t="shared" si="1"/>
        <v>update postalCodes set RegionID=2 where code=2254;</v>
      </c>
    </row>
    <row r="121" spans="1:6" x14ac:dyDescent="0.3">
      <c r="A121">
        <v>446</v>
      </c>
      <c r="B121">
        <v>2255</v>
      </c>
      <c r="C121" t="s">
        <v>322</v>
      </c>
      <c r="D121" t="s">
        <v>253</v>
      </c>
      <c r="E121">
        <f>_xlfn.XLOOKUP(D121,Regije!B:B,Regije!A:A)</f>
        <v>2</v>
      </c>
      <c r="F121" t="str">
        <f t="shared" si="1"/>
        <v>update postalCodes set RegionID=2 where code=2255;</v>
      </c>
    </row>
    <row r="122" spans="1:6" x14ac:dyDescent="0.3">
      <c r="A122">
        <v>135</v>
      </c>
      <c r="B122">
        <v>2256</v>
      </c>
      <c r="C122" t="s">
        <v>271</v>
      </c>
      <c r="D122" t="s">
        <v>253</v>
      </c>
      <c r="E122">
        <f>_xlfn.XLOOKUP(D122,Regije!B:B,Regije!A:A)</f>
        <v>2</v>
      </c>
      <c r="F122" t="str">
        <f t="shared" si="1"/>
        <v>update postalCodes set RegionID=2 where code=2256;</v>
      </c>
    </row>
    <row r="123" spans="1:6" x14ac:dyDescent="0.3">
      <c r="A123">
        <v>288</v>
      </c>
      <c r="B123">
        <v>2257</v>
      </c>
      <c r="C123" t="s">
        <v>299</v>
      </c>
      <c r="D123" t="s">
        <v>253</v>
      </c>
      <c r="E123">
        <f>_xlfn.XLOOKUP(D123,Regije!B:B,Regije!A:A)</f>
        <v>2</v>
      </c>
      <c r="F123" t="str">
        <f t="shared" si="1"/>
        <v>update postalCodes set RegionID=2 where code=2257;</v>
      </c>
    </row>
    <row r="124" spans="1:6" x14ac:dyDescent="0.3">
      <c r="A124">
        <v>380</v>
      </c>
      <c r="B124">
        <v>2258</v>
      </c>
      <c r="C124" t="s">
        <v>316</v>
      </c>
      <c r="D124" t="s">
        <v>253</v>
      </c>
      <c r="E124">
        <f>_xlfn.XLOOKUP(D124,Regije!B:B,Regije!A:A)</f>
        <v>2</v>
      </c>
      <c r="F124" t="str">
        <f t="shared" si="1"/>
        <v>update postalCodes set RegionID=2 where code=2258;</v>
      </c>
    </row>
    <row r="125" spans="1:6" x14ac:dyDescent="0.3">
      <c r="A125">
        <v>125</v>
      </c>
      <c r="B125">
        <v>2259</v>
      </c>
      <c r="C125" t="s">
        <v>267</v>
      </c>
      <c r="D125" t="s">
        <v>253</v>
      </c>
      <c r="E125">
        <f>_xlfn.XLOOKUP(D125,Regije!B:B,Regije!A:A)</f>
        <v>2</v>
      </c>
      <c r="F125" t="str">
        <f t="shared" si="1"/>
        <v>update postalCodes set RegionID=2 where code=2259;</v>
      </c>
    </row>
    <row r="126" spans="1:6" x14ac:dyDescent="0.3">
      <c r="A126">
        <v>258</v>
      </c>
      <c r="B126">
        <v>2270</v>
      </c>
      <c r="C126" t="s">
        <v>292</v>
      </c>
      <c r="D126" t="s">
        <v>253</v>
      </c>
      <c r="E126">
        <f>_xlfn.XLOOKUP(D126,Regije!B:B,Regije!A:A)</f>
        <v>2</v>
      </c>
      <c r="F126" t="str">
        <f t="shared" si="1"/>
        <v>update postalCodes set RegionID=2 where code=2270;</v>
      </c>
    </row>
    <row r="127" spans="1:6" x14ac:dyDescent="0.3">
      <c r="A127">
        <v>98</v>
      </c>
      <c r="B127">
        <v>2272</v>
      </c>
      <c r="C127" t="s">
        <v>264</v>
      </c>
      <c r="D127" t="s">
        <v>253</v>
      </c>
      <c r="E127">
        <f>_xlfn.XLOOKUP(D127,Regije!B:B,Regije!A:A)</f>
        <v>2</v>
      </c>
      <c r="F127" t="str">
        <f t="shared" si="1"/>
        <v>update postalCodes set RegionID=2 where code=2272;</v>
      </c>
    </row>
    <row r="128" spans="1:6" x14ac:dyDescent="0.3">
      <c r="A128">
        <v>276</v>
      </c>
      <c r="B128">
        <v>2273</v>
      </c>
      <c r="C128" t="s">
        <v>296</v>
      </c>
      <c r="D128" t="s">
        <v>253</v>
      </c>
      <c r="E128">
        <f>_xlfn.XLOOKUP(D128,Regije!B:B,Regije!A:A)</f>
        <v>2</v>
      </c>
      <c r="F128" t="str">
        <f t="shared" si="1"/>
        <v>update postalCodes set RegionID=2 where code=2273;</v>
      </c>
    </row>
    <row r="129" spans="1:6" x14ac:dyDescent="0.3">
      <c r="A129">
        <v>434</v>
      </c>
      <c r="B129">
        <v>2274</v>
      </c>
      <c r="C129" t="s">
        <v>320</v>
      </c>
      <c r="D129" t="s">
        <v>253</v>
      </c>
      <c r="E129">
        <f>_xlfn.XLOOKUP(D129,Regije!B:B,Regije!A:A)</f>
        <v>2</v>
      </c>
      <c r="F129" t="str">
        <f t="shared" si="1"/>
        <v>update postalCodes set RegionID=2 where code=2274;</v>
      </c>
    </row>
    <row r="130" spans="1:6" x14ac:dyDescent="0.3">
      <c r="A130">
        <v>230</v>
      </c>
      <c r="B130">
        <v>2275</v>
      </c>
      <c r="C130" t="s">
        <v>289</v>
      </c>
      <c r="D130" t="s">
        <v>253</v>
      </c>
      <c r="E130">
        <f>_xlfn.XLOOKUP(D130,Regije!B:B,Regije!A:A)</f>
        <v>2</v>
      </c>
      <c r="F130" t="str">
        <f t="shared" si="1"/>
        <v>update postalCodes set RegionID=2 where code=2275;</v>
      </c>
    </row>
    <row r="131" spans="1:6" x14ac:dyDescent="0.3">
      <c r="A131">
        <v>151</v>
      </c>
      <c r="B131">
        <v>2276</v>
      </c>
      <c r="C131" t="s">
        <v>275</v>
      </c>
      <c r="D131" t="s">
        <v>253</v>
      </c>
      <c r="E131">
        <f>_xlfn.XLOOKUP(D131,Regije!B:B,Regije!A:A)</f>
        <v>2</v>
      </c>
      <c r="F131" t="str">
        <f t="shared" ref="F131:F194" si="2">"update postalCodes set RegionID="&amp;E131&amp;" where code="&amp;B131&amp;";"</f>
        <v>update postalCodes set RegionID=2 where code=2276;</v>
      </c>
    </row>
    <row r="132" spans="1:6" x14ac:dyDescent="0.3">
      <c r="A132">
        <v>359</v>
      </c>
      <c r="B132">
        <v>2277</v>
      </c>
      <c r="C132" t="s">
        <v>310</v>
      </c>
      <c r="D132" t="s">
        <v>253</v>
      </c>
      <c r="E132">
        <f>_xlfn.XLOOKUP(D132,Regije!B:B,Regije!A:A)</f>
        <v>2</v>
      </c>
      <c r="F132" t="str">
        <f t="shared" si="2"/>
        <v>update postalCodes set RegionID=2 where code=2277;</v>
      </c>
    </row>
    <row r="133" spans="1:6" x14ac:dyDescent="0.3">
      <c r="A133">
        <v>221</v>
      </c>
      <c r="B133">
        <v>2281</v>
      </c>
      <c r="C133" t="s">
        <v>287</v>
      </c>
      <c r="D133" t="s">
        <v>253</v>
      </c>
      <c r="E133">
        <f>_xlfn.XLOOKUP(D133,Regije!B:B,Regije!A:A)</f>
        <v>2</v>
      </c>
      <c r="F133" t="str">
        <f t="shared" si="2"/>
        <v>update postalCodes set RegionID=2 where code=2281;</v>
      </c>
    </row>
    <row r="134" spans="1:6" x14ac:dyDescent="0.3">
      <c r="A134">
        <v>47</v>
      </c>
      <c r="B134">
        <v>2282</v>
      </c>
      <c r="C134" t="s">
        <v>259</v>
      </c>
      <c r="D134" t="s">
        <v>253</v>
      </c>
      <c r="E134">
        <f>_xlfn.XLOOKUP(D134,Regije!B:B,Regije!A:A)</f>
        <v>2</v>
      </c>
      <c r="F134" t="str">
        <f t="shared" si="2"/>
        <v>update postalCodes set RegionID=2 where code=2282;</v>
      </c>
    </row>
    <row r="135" spans="1:6" x14ac:dyDescent="0.3">
      <c r="A135">
        <v>459</v>
      </c>
      <c r="B135">
        <v>2283</v>
      </c>
      <c r="C135" t="s">
        <v>324</v>
      </c>
      <c r="D135" t="s">
        <v>253</v>
      </c>
      <c r="E135">
        <f>_xlfn.XLOOKUP(D135,Regije!B:B,Regije!A:A)</f>
        <v>2</v>
      </c>
      <c r="F135" t="str">
        <f t="shared" si="2"/>
        <v>update postalCodes set RegionID=2 where code=2283;</v>
      </c>
    </row>
    <row r="136" spans="1:6" x14ac:dyDescent="0.3">
      <c r="A136">
        <v>440</v>
      </c>
      <c r="B136">
        <v>2284</v>
      </c>
      <c r="C136" t="s">
        <v>321</v>
      </c>
      <c r="D136" t="s">
        <v>253</v>
      </c>
      <c r="E136">
        <f>_xlfn.XLOOKUP(D136,Regije!B:B,Regije!A:A)</f>
        <v>2</v>
      </c>
      <c r="F136" t="str">
        <f t="shared" si="2"/>
        <v>update postalCodes set RegionID=2 where code=2284;</v>
      </c>
    </row>
    <row r="137" spans="1:6" x14ac:dyDescent="0.3">
      <c r="A137">
        <v>469</v>
      </c>
      <c r="B137">
        <v>2285</v>
      </c>
      <c r="C137" t="s">
        <v>330</v>
      </c>
      <c r="D137" t="s">
        <v>253</v>
      </c>
      <c r="E137">
        <f>_xlfn.XLOOKUP(D137,Regije!B:B,Regije!A:A)</f>
        <v>2</v>
      </c>
      <c r="F137" t="str">
        <f t="shared" si="2"/>
        <v>update postalCodes set RegionID=2 where code=2285;</v>
      </c>
    </row>
    <row r="138" spans="1:6" x14ac:dyDescent="0.3">
      <c r="A138">
        <v>281</v>
      </c>
      <c r="B138">
        <v>2286</v>
      </c>
      <c r="C138" t="s">
        <v>297</v>
      </c>
      <c r="D138" t="s">
        <v>253</v>
      </c>
      <c r="E138">
        <f>_xlfn.XLOOKUP(D138,Regije!B:B,Regije!A:A)</f>
        <v>2</v>
      </c>
      <c r="F138" t="str">
        <f t="shared" si="2"/>
        <v>update postalCodes set RegionID=2 where code=2286;</v>
      </c>
    </row>
    <row r="139" spans="1:6" x14ac:dyDescent="0.3">
      <c r="A139">
        <v>475</v>
      </c>
      <c r="B139">
        <v>2287</v>
      </c>
      <c r="C139" t="s">
        <v>331</v>
      </c>
      <c r="D139" t="s">
        <v>253</v>
      </c>
      <c r="E139">
        <f>_xlfn.XLOOKUP(D139,Regije!B:B,Regije!A:A)</f>
        <v>2</v>
      </c>
      <c r="F139" t="str">
        <f t="shared" si="2"/>
        <v>update postalCodes set RegionID=2 where code=2287;</v>
      </c>
    </row>
    <row r="140" spans="1:6" x14ac:dyDescent="0.3">
      <c r="A140">
        <v>111</v>
      </c>
      <c r="B140">
        <v>2288</v>
      </c>
      <c r="C140" t="s">
        <v>265</v>
      </c>
      <c r="D140" t="s">
        <v>253</v>
      </c>
      <c r="E140">
        <f>_xlfn.XLOOKUP(D140,Regije!B:B,Regije!A:A)</f>
        <v>2</v>
      </c>
      <c r="F140" t="str">
        <f t="shared" si="2"/>
        <v>update postalCodes set RegionID=2 where code=2288;</v>
      </c>
    </row>
    <row r="141" spans="1:6" x14ac:dyDescent="0.3">
      <c r="A141">
        <v>368</v>
      </c>
      <c r="B141">
        <v>2289</v>
      </c>
      <c r="C141" t="s">
        <v>312</v>
      </c>
      <c r="D141" t="s">
        <v>253</v>
      </c>
      <c r="E141">
        <f>_xlfn.XLOOKUP(D141,Regije!B:B,Regije!A:A)</f>
        <v>2</v>
      </c>
      <c r="F141" t="str">
        <f t="shared" si="2"/>
        <v>update postalCodes set RegionID=2 where code=2289;</v>
      </c>
    </row>
    <row r="142" spans="1:6" x14ac:dyDescent="0.3">
      <c r="A142">
        <v>347</v>
      </c>
      <c r="B142">
        <v>2310</v>
      </c>
      <c r="C142" t="s">
        <v>308</v>
      </c>
      <c r="D142" t="s">
        <v>253</v>
      </c>
      <c r="E142">
        <f>_xlfn.XLOOKUP(D142,Regije!B:B,Regije!A:A)</f>
        <v>2</v>
      </c>
      <c r="F142" t="str">
        <f t="shared" si="2"/>
        <v>update postalCodes set RegionID=2 where code=2310;</v>
      </c>
    </row>
    <row r="143" spans="1:6" x14ac:dyDescent="0.3">
      <c r="A143">
        <v>113</v>
      </c>
      <c r="B143">
        <v>2311</v>
      </c>
      <c r="C143" t="s">
        <v>266</v>
      </c>
      <c r="D143" t="s">
        <v>253</v>
      </c>
      <c r="E143">
        <f>_xlfn.XLOOKUP(D143,Regije!B:B,Regije!A:A)</f>
        <v>2</v>
      </c>
      <c r="F143" t="str">
        <f t="shared" si="2"/>
        <v>update postalCodes set RegionID=2 where code=2311;</v>
      </c>
    </row>
    <row r="144" spans="1:6" x14ac:dyDescent="0.3">
      <c r="A144">
        <v>257</v>
      </c>
      <c r="B144">
        <v>2312</v>
      </c>
      <c r="C144" t="s">
        <v>291</v>
      </c>
      <c r="D144" t="s">
        <v>253</v>
      </c>
      <c r="E144">
        <f>_xlfn.XLOOKUP(D144,Regije!B:B,Regije!A:A)</f>
        <v>2</v>
      </c>
      <c r="F144" t="str">
        <f t="shared" si="2"/>
        <v>update postalCodes set RegionID=2 where code=2312;</v>
      </c>
    </row>
    <row r="145" spans="1:6" x14ac:dyDescent="0.3">
      <c r="A145">
        <v>89</v>
      </c>
      <c r="B145">
        <v>2313</v>
      </c>
      <c r="C145" t="s">
        <v>263</v>
      </c>
      <c r="D145" t="s">
        <v>253</v>
      </c>
      <c r="E145">
        <f>_xlfn.XLOOKUP(D145,Regije!B:B,Regije!A:A)</f>
        <v>2</v>
      </c>
      <c r="F145" t="str">
        <f t="shared" si="2"/>
        <v>update postalCodes set RegionID=2 where code=2313;</v>
      </c>
    </row>
    <row r="146" spans="1:6" x14ac:dyDescent="0.3">
      <c r="A146">
        <v>465</v>
      </c>
      <c r="B146">
        <v>2314</v>
      </c>
      <c r="C146" t="s">
        <v>328</v>
      </c>
      <c r="D146" t="s">
        <v>253</v>
      </c>
      <c r="E146">
        <f>_xlfn.XLOOKUP(D146,Regije!B:B,Regije!A:A)</f>
        <v>2</v>
      </c>
      <c r="F146" t="str">
        <f t="shared" si="2"/>
        <v>update postalCodes set RegionID=2 where code=2314;</v>
      </c>
    </row>
    <row r="147" spans="1:6" x14ac:dyDescent="0.3">
      <c r="A147">
        <v>403</v>
      </c>
      <c r="B147">
        <v>2315</v>
      </c>
      <c r="C147" t="s">
        <v>318</v>
      </c>
      <c r="D147" t="s">
        <v>253</v>
      </c>
      <c r="E147">
        <f>_xlfn.XLOOKUP(D147,Regije!B:B,Regije!A:A)</f>
        <v>2</v>
      </c>
      <c r="F147" t="str">
        <f t="shared" si="2"/>
        <v>update postalCodes set RegionID=2 where code=2315;</v>
      </c>
    </row>
    <row r="148" spans="1:6" x14ac:dyDescent="0.3">
      <c r="A148">
        <v>464</v>
      </c>
      <c r="B148">
        <v>2316</v>
      </c>
      <c r="C148" t="s">
        <v>327</v>
      </c>
      <c r="D148" t="s">
        <v>253</v>
      </c>
      <c r="E148">
        <f>_xlfn.XLOOKUP(D148,Regije!B:B,Regije!A:A)</f>
        <v>2</v>
      </c>
      <c r="F148" t="str">
        <f t="shared" si="2"/>
        <v>update postalCodes set RegionID=2 where code=2316;</v>
      </c>
    </row>
    <row r="149" spans="1:6" x14ac:dyDescent="0.3">
      <c r="A149">
        <v>256</v>
      </c>
      <c r="B149">
        <v>2317</v>
      </c>
      <c r="C149" t="s">
        <v>290</v>
      </c>
      <c r="D149" t="s">
        <v>253</v>
      </c>
      <c r="E149">
        <f>_xlfn.XLOOKUP(D149,Regije!B:B,Regije!A:A)</f>
        <v>2</v>
      </c>
      <c r="F149" t="str">
        <f t="shared" si="2"/>
        <v>update postalCodes set RegionID=2 where code=2317;</v>
      </c>
    </row>
    <row r="150" spans="1:6" x14ac:dyDescent="0.3">
      <c r="A150">
        <v>178</v>
      </c>
      <c r="B150">
        <v>2318</v>
      </c>
      <c r="C150" t="s">
        <v>276</v>
      </c>
      <c r="D150" t="s">
        <v>253</v>
      </c>
      <c r="E150">
        <f>_xlfn.XLOOKUP(D150,Regije!B:B,Regije!A:A)</f>
        <v>2</v>
      </c>
      <c r="F150" t="str">
        <f t="shared" si="2"/>
        <v>update postalCodes set RegionID=2 where code=2318;</v>
      </c>
    </row>
    <row r="151" spans="1:6" x14ac:dyDescent="0.3">
      <c r="A151">
        <v>291</v>
      </c>
      <c r="B151">
        <v>2319</v>
      </c>
      <c r="C151" t="s">
        <v>300</v>
      </c>
      <c r="D151" t="s">
        <v>253</v>
      </c>
      <c r="E151">
        <f>_xlfn.XLOOKUP(D151,Regije!B:B,Regije!A:A)</f>
        <v>2</v>
      </c>
      <c r="F151" t="str">
        <f t="shared" si="2"/>
        <v>update postalCodes set RegionID=2 where code=2319;</v>
      </c>
    </row>
    <row r="152" spans="1:6" x14ac:dyDescent="0.3">
      <c r="A152">
        <v>214</v>
      </c>
      <c r="B152">
        <v>2321</v>
      </c>
      <c r="C152" t="s">
        <v>282</v>
      </c>
      <c r="D152" t="s">
        <v>253</v>
      </c>
      <c r="E152">
        <f>_xlfn.XLOOKUP(D152,Regije!B:B,Regije!A:A)</f>
        <v>2</v>
      </c>
      <c r="F152" t="str">
        <f t="shared" si="2"/>
        <v>update postalCodes set RegionID=2 where code=2321;</v>
      </c>
    </row>
    <row r="153" spans="1:6" x14ac:dyDescent="0.3">
      <c r="A153">
        <v>213</v>
      </c>
      <c r="B153">
        <v>2322</v>
      </c>
      <c r="C153" t="s">
        <v>281</v>
      </c>
      <c r="D153" t="s">
        <v>253</v>
      </c>
      <c r="E153">
        <f>_xlfn.XLOOKUP(D153,Regije!B:B,Regije!A:A)</f>
        <v>2</v>
      </c>
      <c r="F153" t="str">
        <f t="shared" si="2"/>
        <v>update postalCodes set RegionID=2 where code=2322;</v>
      </c>
    </row>
    <row r="154" spans="1:6" x14ac:dyDescent="0.3">
      <c r="A154">
        <v>310</v>
      </c>
      <c r="B154">
        <v>2323</v>
      </c>
      <c r="C154" t="s">
        <v>303</v>
      </c>
      <c r="D154" t="s">
        <v>253</v>
      </c>
      <c r="E154">
        <f>_xlfn.XLOOKUP(D154,Regije!B:B,Regije!A:A)</f>
        <v>2</v>
      </c>
      <c r="F154" t="str">
        <f t="shared" si="2"/>
        <v>update postalCodes set RegionID=2 where code=2323;</v>
      </c>
    </row>
    <row r="155" spans="1:6" x14ac:dyDescent="0.3">
      <c r="A155">
        <v>208</v>
      </c>
      <c r="B155">
        <v>2324</v>
      </c>
      <c r="C155" t="s">
        <v>279</v>
      </c>
      <c r="D155" t="s">
        <v>253</v>
      </c>
      <c r="E155">
        <f>_xlfn.XLOOKUP(D155,Regije!B:B,Regije!A:A)</f>
        <v>2</v>
      </c>
      <c r="F155" t="str">
        <f t="shared" si="2"/>
        <v>update postalCodes set RegionID=2 where code=2324;</v>
      </c>
    </row>
    <row r="156" spans="1:6" x14ac:dyDescent="0.3">
      <c r="A156">
        <v>144</v>
      </c>
      <c r="B156">
        <v>2325</v>
      </c>
      <c r="C156" t="s">
        <v>274</v>
      </c>
      <c r="D156" t="s">
        <v>253</v>
      </c>
      <c r="E156">
        <f>_xlfn.XLOOKUP(D156,Regije!B:B,Regije!A:A)</f>
        <v>2</v>
      </c>
      <c r="F156" t="str">
        <f t="shared" si="2"/>
        <v>update postalCodes set RegionID=2 where code=2325;</v>
      </c>
    </row>
    <row r="157" spans="1:6" x14ac:dyDescent="0.3">
      <c r="A157">
        <v>46</v>
      </c>
      <c r="B157">
        <v>2326</v>
      </c>
      <c r="C157" t="s">
        <v>258</v>
      </c>
      <c r="D157" t="s">
        <v>253</v>
      </c>
      <c r="E157">
        <f>_xlfn.XLOOKUP(D157,Regije!B:B,Regije!A:A)</f>
        <v>2</v>
      </c>
      <c r="F157" t="str">
        <f t="shared" si="2"/>
        <v>update postalCodes set RegionID=2 where code=2326;</v>
      </c>
    </row>
    <row r="158" spans="1:6" x14ac:dyDescent="0.3">
      <c r="A158">
        <v>312</v>
      </c>
      <c r="B158">
        <v>2327</v>
      </c>
      <c r="C158" t="s">
        <v>304</v>
      </c>
      <c r="D158" t="s">
        <v>253</v>
      </c>
      <c r="E158">
        <f>_xlfn.XLOOKUP(D158,Regije!B:B,Regije!A:A)</f>
        <v>2</v>
      </c>
      <c r="F158" t="str">
        <f t="shared" si="2"/>
        <v>update postalCodes set RegionID=2 where code=2327;</v>
      </c>
    </row>
    <row r="159" spans="1:6" x14ac:dyDescent="0.3">
      <c r="A159">
        <v>297</v>
      </c>
      <c r="B159">
        <v>2331</v>
      </c>
      <c r="C159" t="s">
        <v>301</v>
      </c>
      <c r="D159" t="s">
        <v>253</v>
      </c>
      <c r="E159">
        <f>_xlfn.XLOOKUP(D159,Regije!B:B,Regije!A:A)</f>
        <v>2</v>
      </c>
      <c r="F159" t="str">
        <f t="shared" si="2"/>
        <v>update postalCodes set RegionID=2 where code=2331;</v>
      </c>
    </row>
    <row r="160" spans="1:6" x14ac:dyDescent="0.3">
      <c r="A160">
        <v>187</v>
      </c>
      <c r="B160">
        <v>2341</v>
      </c>
      <c r="C160" t="s">
        <v>278</v>
      </c>
      <c r="D160" t="s">
        <v>253</v>
      </c>
      <c r="E160">
        <f>_xlfn.XLOOKUP(D160,Regije!B:B,Regije!A:A)</f>
        <v>2</v>
      </c>
      <c r="F160" t="str">
        <f t="shared" si="2"/>
        <v>update postalCodes set RegionID=2 where code=2341;</v>
      </c>
    </row>
    <row r="161" spans="1:6" x14ac:dyDescent="0.3">
      <c r="A161">
        <v>334</v>
      </c>
      <c r="B161">
        <v>2342</v>
      </c>
      <c r="C161" t="s">
        <v>305</v>
      </c>
      <c r="D161" t="s">
        <v>253</v>
      </c>
      <c r="E161">
        <f>_xlfn.XLOOKUP(D161,Regije!B:B,Regije!A:A)</f>
        <v>2</v>
      </c>
      <c r="F161" t="str">
        <f t="shared" si="2"/>
        <v>update postalCodes set RegionID=2 where code=2342;</v>
      </c>
    </row>
    <row r="162" spans="1:6" x14ac:dyDescent="0.3">
      <c r="A162">
        <v>87</v>
      </c>
      <c r="B162">
        <v>2343</v>
      </c>
      <c r="C162" t="s">
        <v>262</v>
      </c>
      <c r="D162" t="s">
        <v>253</v>
      </c>
      <c r="E162">
        <f>_xlfn.XLOOKUP(D162,Regije!B:B,Regije!A:A)</f>
        <v>2</v>
      </c>
      <c r="F162" t="str">
        <f t="shared" si="2"/>
        <v>update postalCodes set RegionID=2 where code=2343;</v>
      </c>
    </row>
    <row r="163" spans="1:6" x14ac:dyDescent="0.3">
      <c r="A163">
        <v>209</v>
      </c>
      <c r="B163">
        <v>2344</v>
      </c>
      <c r="C163" t="s">
        <v>280</v>
      </c>
      <c r="D163" t="s">
        <v>253</v>
      </c>
      <c r="E163">
        <f>_xlfn.XLOOKUP(D163,Regije!B:B,Regije!A:A)</f>
        <v>2</v>
      </c>
      <c r="F163" t="str">
        <f t="shared" si="2"/>
        <v>update postalCodes set RegionID=2 where code=2344;</v>
      </c>
    </row>
    <row r="164" spans="1:6" x14ac:dyDescent="0.3">
      <c r="A164">
        <v>10</v>
      </c>
      <c r="B164">
        <v>2345</v>
      </c>
      <c r="C164" t="s">
        <v>254</v>
      </c>
      <c r="D164" t="s">
        <v>253</v>
      </c>
      <c r="E164">
        <f>_xlfn.XLOOKUP(D164,Regije!B:B,Regije!A:A)</f>
        <v>2</v>
      </c>
      <c r="F164" t="str">
        <f t="shared" si="2"/>
        <v>update postalCodes set RegionID=2 where code=2345;</v>
      </c>
    </row>
    <row r="165" spans="1:6" x14ac:dyDescent="0.3">
      <c r="A165">
        <v>139</v>
      </c>
      <c r="B165">
        <v>2351</v>
      </c>
      <c r="C165" t="s">
        <v>272</v>
      </c>
      <c r="D165" t="s">
        <v>253</v>
      </c>
      <c r="E165">
        <f>_xlfn.XLOOKUP(D165,Regije!B:B,Regije!A:A)</f>
        <v>2</v>
      </c>
      <c r="F165" t="str">
        <f t="shared" si="2"/>
        <v>update postalCodes set RegionID=2 where code=2351;</v>
      </c>
    </row>
    <row r="166" spans="1:6" x14ac:dyDescent="0.3">
      <c r="A166">
        <v>338</v>
      </c>
      <c r="B166">
        <v>2352</v>
      </c>
      <c r="C166" t="s">
        <v>306</v>
      </c>
      <c r="D166" t="s">
        <v>253</v>
      </c>
      <c r="E166">
        <f>_xlfn.XLOOKUP(D166,Regije!B:B,Regije!A:A)</f>
        <v>2</v>
      </c>
      <c r="F166" t="str">
        <f t="shared" si="2"/>
        <v>update postalCodes set RegionID=2 where code=2352;</v>
      </c>
    </row>
    <row r="167" spans="1:6" x14ac:dyDescent="0.3">
      <c r="A167">
        <v>375</v>
      </c>
      <c r="B167">
        <v>2353</v>
      </c>
      <c r="C167" t="s">
        <v>313</v>
      </c>
      <c r="D167" t="s">
        <v>253</v>
      </c>
      <c r="E167">
        <f>_xlfn.XLOOKUP(D167,Regije!B:B,Regije!A:A)</f>
        <v>2</v>
      </c>
      <c r="F167" t="str">
        <f t="shared" si="2"/>
        <v>update postalCodes set RegionID=2 where code=2353;</v>
      </c>
    </row>
    <row r="168" spans="1:6" x14ac:dyDescent="0.3">
      <c r="A168">
        <v>29</v>
      </c>
      <c r="B168">
        <v>2354</v>
      </c>
      <c r="C168" t="s">
        <v>255</v>
      </c>
      <c r="D168" t="s">
        <v>253</v>
      </c>
      <c r="E168">
        <f>_xlfn.XLOOKUP(D168,Regije!B:B,Regije!A:A)</f>
        <v>2</v>
      </c>
      <c r="F168" t="str">
        <f t="shared" si="2"/>
        <v>update postalCodes set RegionID=2 where code=2354;</v>
      </c>
    </row>
    <row r="169" spans="1:6" x14ac:dyDescent="0.3">
      <c r="A169">
        <v>315</v>
      </c>
      <c r="B169">
        <v>2360</v>
      </c>
      <c r="C169" t="s">
        <v>153</v>
      </c>
      <c r="D169" t="s">
        <v>143</v>
      </c>
      <c r="E169">
        <f>_xlfn.XLOOKUP(D169,Regije!B:B,Regije!A:A)</f>
        <v>3</v>
      </c>
      <c r="F169" t="str">
        <f t="shared" si="2"/>
        <v>update postalCodes set RegionID=3 where code=2360;</v>
      </c>
    </row>
    <row r="170" spans="1:6" x14ac:dyDescent="0.3">
      <c r="A170">
        <v>262</v>
      </c>
      <c r="B170">
        <v>2361</v>
      </c>
      <c r="C170" t="s">
        <v>293</v>
      </c>
      <c r="D170" t="s">
        <v>253</v>
      </c>
      <c r="E170">
        <f>_xlfn.XLOOKUP(D170,Regije!B:B,Regije!A:A)</f>
        <v>2</v>
      </c>
      <c r="F170" t="str">
        <f t="shared" si="2"/>
        <v>update postalCodes set RegionID=2 where code=2361;</v>
      </c>
    </row>
    <row r="171" spans="1:6" x14ac:dyDescent="0.3">
      <c r="A171">
        <v>143</v>
      </c>
      <c r="B171">
        <v>2362</v>
      </c>
      <c r="C171" t="s">
        <v>273</v>
      </c>
      <c r="D171" t="s">
        <v>253</v>
      </c>
      <c r="E171">
        <f>_xlfn.XLOOKUP(D171,Regije!B:B,Regije!A:A)</f>
        <v>2</v>
      </c>
      <c r="F171" t="str">
        <f t="shared" si="2"/>
        <v>update postalCodes set RegionID=2 where code=2362;</v>
      </c>
    </row>
    <row r="172" spans="1:6" x14ac:dyDescent="0.3">
      <c r="A172">
        <v>286</v>
      </c>
      <c r="B172">
        <v>2363</v>
      </c>
      <c r="C172" t="s">
        <v>151</v>
      </c>
      <c r="D172" t="s">
        <v>143</v>
      </c>
      <c r="E172">
        <f>_xlfn.XLOOKUP(D172,Regije!B:B,Regije!A:A)</f>
        <v>3</v>
      </c>
      <c r="F172" t="str">
        <f t="shared" si="2"/>
        <v>update postalCodes set RegionID=3 where code=2363;</v>
      </c>
    </row>
    <row r="173" spans="1:6" x14ac:dyDescent="0.3">
      <c r="A173">
        <v>326</v>
      </c>
      <c r="B173">
        <v>2364</v>
      </c>
      <c r="C173" t="s">
        <v>155</v>
      </c>
      <c r="D173" t="s">
        <v>143</v>
      </c>
      <c r="E173">
        <f>_xlfn.XLOOKUP(D173,Regije!B:B,Regije!A:A)</f>
        <v>3</v>
      </c>
      <c r="F173" t="str">
        <f t="shared" si="2"/>
        <v>update postalCodes set RegionID=3 where code=2364;</v>
      </c>
    </row>
    <row r="174" spans="1:6" x14ac:dyDescent="0.3">
      <c r="A174">
        <v>454</v>
      </c>
      <c r="B174">
        <v>2365</v>
      </c>
      <c r="C174" t="s">
        <v>160</v>
      </c>
      <c r="D174" t="s">
        <v>143</v>
      </c>
      <c r="E174">
        <f>_xlfn.XLOOKUP(D174,Regije!B:B,Regije!A:A)</f>
        <v>3</v>
      </c>
      <c r="F174" t="str">
        <f t="shared" si="2"/>
        <v>update postalCodes set RegionID=3 where code=2365;</v>
      </c>
    </row>
    <row r="175" spans="1:6" x14ac:dyDescent="0.3">
      <c r="A175">
        <v>244</v>
      </c>
      <c r="B175">
        <v>2366</v>
      </c>
      <c r="C175" t="s">
        <v>149</v>
      </c>
      <c r="D175" t="s">
        <v>143</v>
      </c>
      <c r="E175">
        <f>_xlfn.XLOOKUP(D175,Regije!B:B,Regije!A:A)</f>
        <v>3</v>
      </c>
      <c r="F175" t="str">
        <f t="shared" si="2"/>
        <v>update postalCodes set RegionID=3 where code=2366;</v>
      </c>
    </row>
    <row r="176" spans="1:6" x14ac:dyDescent="0.3">
      <c r="A176">
        <v>455</v>
      </c>
      <c r="B176">
        <v>2367</v>
      </c>
      <c r="C176" t="s">
        <v>161</v>
      </c>
      <c r="D176" t="s">
        <v>143</v>
      </c>
      <c r="E176">
        <f>_xlfn.XLOOKUP(D176,Regije!B:B,Regije!A:A)</f>
        <v>3</v>
      </c>
      <c r="F176" t="str">
        <f t="shared" si="2"/>
        <v>update postalCodes set RegionID=3 where code=2367;</v>
      </c>
    </row>
    <row r="177" spans="1:6" x14ac:dyDescent="0.3">
      <c r="A177">
        <v>83</v>
      </c>
      <c r="B177">
        <v>2370</v>
      </c>
      <c r="C177" t="s">
        <v>144</v>
      </c>
      <c r="D177" t="s">
        <v>143</v>
      </c>
      <c r="E177">
        <f>_xlfn.XLOOKUP(D177,Regije!B:B,Regije!A:A)</f>
        <v>3</v>
      </c>
      <c r="F177" t="str">
        <f t="shared" si="2"/>
        <v>update postalCodes set RegionID=3 where code=2370;</v>
      </c>
    </row>
    <row r="178" spans="1:6" x14ac:dyDescent="0.3">
      <c r="A178">
        <v>417</v>
      </c>
      <c r="B178">
        <v>2371</v>
      </c>
      <c r="C178" t="s">
        <v>159</v>
      </c>
      <c r="D178" t="s">
        <v>143</v>
      </c>
      <c r="E178">
        <f>_xlfn.XLOOKUP(D178,Regije!B:B,Regije!A:A)</f>
        <v>3</v>
      </c>
      <c r="F178" t="str">
        <f t="shared" si="2"/>
        <v>update postalCodes set RegionID=3 where code=2371;</v>
      </c>
    </row>
    <row r="179" spans="1:6" x14ac:dyDescent="0.3">
      <c r="A179">
        <v>186</v>
      </c>
      <c r="B179">
        <v>2372</v>
      </c>
      <c r="C179" t="s">
        <v>146</v>
      </c>
      <c r="D179" t="s">
        <v>143</v>
      </c>
      <c r="E179">
        <f>_xlfn.XLOOKUP(D179,Regije!B:B,Regije!A:A)</f>
        <v>3</v>
      </c>
      <c r="F179" t="str">
        <f t="shared" si="2"/>
        <v>update postalCodes set RegionID=3 where code=2372;</v>
      </c>
    </row>
    <row r="180" spans="1:6" x14ac:dyDescent="0.3">
      <c r="A180">
        <v>388</v>
      </c>
      <c r="B180">
        <v>2373</v>
      </c>
      <c r="C180" t="s">
        <v>157</v>
      </c>
      <c r="D180" t="s">
        <v>143</v>
      </c>
      <c r="E180">
        <f>_xlfn.XLOOKUP(D180,Regije!B:B,Regije!A:A)</f>
        <v>3</v>
      </c>
      <c r="F180" t="str">
        <f t="shared" si="2"/>
        <v>update postalCodes set RegionID=3 where code=2373;</v>
      </c>
    </row>
    <row r="181" spans="1:6" x14ac:dyDescent="0.3">
      <c r="A181">
        <v>346</v>
      </c>
      <c r="B181">
        <v>2380</v>
      </c>
      <c r="C181" t="s">
        <v>156</v>
      </c>
      <c r="D181" t="s">
        <v>143</v>
      </c>
      <c r="E181">
        <f>_xlfn.XLOOKUP(D181,Regije!B:B,Regije!A:A)</f>
        <v>3</v>
      </c>
      <c r="F181" t="str">
        <f t="shared" si="2"/>
        <v>update postalCodes set RegionID=3 where code=2380;</v>
      </c>
    </row>
    <row r="182" spans="1:6" x14ac:dyDescent="0.3">
      <c r="A182">
        <v>278</v>
      </c>
      <c r="B182">
        <v>2381</v>
      </c>
      <c r="C182" t="s">
        <v>150</v>
      </c>
      <c r="D182" t="s">
        <v>143</v>
      </c>
      <c r="E182">
        <f>_xlfn.XLOOKUP(D182,Regije!B:B,Regije!A:A)</f>
        <v>3</v>
      </c>
      <c r="F182" t="str">
        <f t="shared" si="2"/>
        <v>update postalCodes set RegionID=3 where code=2381;</v>
      </c>
    </row>
    <row r="183" spans="1:6" x14ac:dyDescent="0.3">
      <c r="A183">
        <v>234</v>
      </c>
      <c r="B183">
        <v>2382</v>
      </c>
      <c r="C183" t="s">
        <v>148</v>
      </c>
      <c r="D183" t="s">
        <v>143</v>
      </c>
      <c r="E183">
        <f>_xlfn.XLOOKUP(D183,Regije!B:B,Regije!A:A)</f>
        <v>3</v>
      </c>
      <c r="F183" t="str">
        <f t="shared" si="2"/>
        <v>update postalCodes set RegionID=3 where code=2382;</v>
      </c>
    </row>
    <row r="184" spans="1:6" x14ac:dyDescent="0.3">
      <c r="A184">
        <v>407</v>
      </c>
      <c r="B184">
        <v>2383</v>
      </c>
      <c r="C184" t="s">
        <v>158</v>
      </c>
      <c r="D184" t="s">
        <v>143</v>
      </c>
      <c r="E184">
        <f>_xlfn.XLOOKUP(D184,Regije!B:B,Regije!A:A)</f>
        <v>3</v>
      </c>
      <c r="F184" t="str">
        <f t="shared" si="2"/>
        <v>update postalCodes set RegionID=3 where code=2383;</v>
      </c>
    </row>
    <row r="185" spans="1:6" x14ac:dyDescent="0.3">
      <c r="A185">
        <v>321</v>
      </c>
      <c r="B185">
        <v>2390</v>
      </c>
      <c r="C185" t="s">
        <v>154</v>
      </c>
      <c r="D185" t="s">
        <v>143</v>
      </c>
      <c r="E185">
        <f>_xlfn.XLOOKUP(D185,Regije!B:B,Regije!A:A)</f>
        <v>3</v>
      </c>
      <c r="F185" t="str">
        <f t="shared" si="2"/>
        <v>update postalCodes set RegionID=3 where code=2390;</v>
      </c>
    </row>
    <row r="186" spans="1:6" x14ac:dyDescent="0.3">
      <c r="A186">
        <v>303</v>
      </c>
      <c r="B186">
        <v>2391</v>
      </c>
      <c r="C186" t="s">
        <v>152</v>
      </c>
      <c r="D186" t="s">
        <v>143</v>
      </c>
      <c r="E186">
        <f>_xlfn.XLOOKUP(D186,Regije!B:B,Regije!A:A)</f>
        <v>3</v>
      </c>
      <c r="F186" t="str">
        <f t="shared" si="2"/>
        <v>update postalCodes set RegionID=3 where code=2391;</v>
      </c>
    </row>
    <row r="187" spans="1:6" x14ac:dyDescent="0.3">
      <c r="A187">
        <v>228</v>
      </c>
      <c r="B187">
        <v>2392</v>
      </c>
      <c r="C187" t="s">
        <v>147</v>
      </c>
      <c r="D187" t="s">
        <v>143</v>
      </c>
      <c r="E187">
        <f>_xlfn.XLOOKUP(D187,Regije!B:B,Regije!A:A)</f>
        <v>3</v>
      </c>
      <c r="F187" t="str">
        <f t="shared" si="2"/>
        <v>update postalCodes set RegionID=3 where code=2392;</v>
      </c>
    </row>
    <row r="188" spans="1:6" x14ac:dyDescent="0.3">
      <c r="A188">
        <v>53</v>
      </c>
      <c r="B188">
        <v>2393</v>
      </c>
      <c r="C188" t="s">
        <v>142</v>
      </c>
      <c r="D188" t="s">
        <v>143</v>
      </c>
      <c r="E188">
        <f>_xlfn.XLOOKUP(D188,Regije!B:B,Regije!A:A)</f>
        <v>3</v>
      </c>
      <c r="F188" t="str">
        <f t="shared" si="2"/>
        <v>update postalCodes set RegionID=3 where code=2393;</v>
      </c>
    </row>
    <row r="189" spans="1:6" x14ac:dyDescent="0.3">
      <c r="A189">
        <v>162</v>
      </c>
      <c r="B189">
        <v>2394</v>
      </c>
      <c r="C189" t="s">
        <v>145</v>
      </c>
      <c r="D189" t="s">
        <v>143</v>
      </c>
      <c r="E189">
        <f>_xlfn.XLOOKUP(D189,Regije!B:B,Regije!A:A)</f>
        <v>3</v>
      </c>
      <c r="F189" t="str">
        <f t="shared" si="2"/>
        <v>update postalCodes set RegionID=3 where code=2394;</v>
      </c>
    </row>
    <row r="190" spans="1:6" x14ac:dyDescent="0.3">
      <c r="A190">
        <v>38</v>
      </c>
      <c r="B190">
        <v>3000</v>
      </c>
      <c r="C190" t="s">
        <v>423</v>
      </c>
      <c r="D190" t="s">
        <v>420</v>
      </c>
      <c r="E190">
        <f>_xlfn.XLOOKUP(D190,Regije!B:B,Regije!A:A)</f>
        <v>4</v>
      </c>
      <c r="F190" t="str">
        <f t="shared" si="2"/>
        <v>update postalCodes set RegionID=4 where code=3000;</v>
      </c>
    </row>
    <row r="191" spans="1:6" x14ac:dyDescent="0.3">
      <c r="A191">
        <v>39</v>
      </c>
      <c r="B191">
        <v>3001</v>
      </c>
      <c r="C191" t="s">
        <v>424</v>
      </c>
      <c r="D191" t="s">
        <v>420</v>
      </c>
      <c r="E191">
        <f>_xlfn.XLOOKUP(D191,Regije!B:B,Regije!A:A)</f>
        <v>4</v>
      </c>
      <c r="F191" t="str">
        <f t="shared" si="2"/>
        <v>update postalCodes set RegionID=4 where code=3001;</v>
      </c>
    </row>
    <row r="192" spans="1:6" x14ac:dyDescent="0.3">
      <c r="A192">
        <v>408</v>
      </c>
      <c r="B192">
        <v>3201</v>
      </c>
      <c r="C192" t="s">
        <v>471</v>
      </c>
      <c r="D192" t="s">
        <v>420</v>
      </c>
      <c r="E192">
        <f>_xlfn.XLOOKUP(D192,Regije!B:B,Regije!A:A)</f>
        <v>4</v>
      </c>
      <c r="F192" t="str">
        <f t="shared" si="2"/>
        <v>update postalCodes set RegionID=4 where code=3201;</v>
      </c>
    </row>
    <row r="193" spans="1:6" x14ac:dyDescent="0.3">
      <c r="A193">
        <v>189</v>
      </c>
      <c r="B193">
        <v>3202</v>
      </c>
      <c r="C193" t="s">
        <v>439</v>
      </c>
      <c r="D193" t="s">
        <v>420</v>
      </c>
      <c r="E193">
        <f>_xlfn.XLOOKUP(D193,Regije!B:B,Regije!A:A)</f>
        <v>4</v>
      </c>
      <c r="F193" t="str">
        <f t="shared" si="2"/>
        <v>update postalCodes set RegionID=4 where code=3202;</v>
      </c>
    </row>
    <row r="194" spans="1:6" x14ac:dyDescent="0.3">
      <c r="A194">
        <v>248</v>
      </c>
      <c r="B194">
        <v>3203</v>
      </c>
      <c r="C194" t="s">
        <v>446</v>
      </c>
      <c r="D194" t="s">
        <v>420</v>
      </c>
      <c r="E194">
        <f>_xlfn.XLOOKUP(D194,Regije!B:B,Regije!A:A)</f>
        <v>4</v>
      </c>
      <c r="F194" t="str">
        <f t="shared" si="2"/>
        <v>update postalCodes set RegionID=4 where code=3203;</v>
      </c>
    </row>
    <row r="195" spans="1:6" x14ac:dyDescent="0.3">
      <c r="A195">
        <v>67</v>
      </c>
      <c r="B195">
        <v>3204</v>
      </c>
      <c r="C195" t="s">
        <v>426</v>
      </c>
      <c r="D195" t="s">
        <v>420</v>
      </c>
      <c r="E195">
        <f>_xlfn.XLOOKUP(D195,Regije!B:B,Regije!A:A)</f>
        <v>4</v>
      </c>
      <c r="F195" t="str">
        <f t="shared" ref="F195:F258" si="3">"update postalCodes set RegionID="&amp;E195&amp;" where code="&amp;B195&amp;";"</f>
        <v>update postalCodes set RegionID=4 where code=3204;</v>
      </c>
    </row>
    <row r="196" spans="1:6" x14ac:dyDescent="0.3">
      <c r="A196">
        <v>445</v>
      </c>
      <c r="B196">
        <v>3205</v>
      </c>
      <c r="C196" t="s">
        <v>478</v>
      </c>
      <c r="D196" t="s">
        <v>420</v>
      </c>
      <c r="E196">
        <f>_xlfn.XLOOKUP(D196,Regije!B:B,Regije!A:A)</f>
        <v>4</v>
      </c>
      <c r="F196" t="str">
        <f t="shared" si="3"/>
        <v>update postalCodes set RegionID=4 where code=3205;</v>
      </c>
    </row>
    <row r="197" spans="1:6" x14ac:dyDescent="0.3">
      <c r="A197">
        <v>370</v>
      </c>
      <c r="B197">
        <v>3206</v>
      </c>
      <c r="C197" t="s">
        <v>463</v>
      </c>
      <c r="D197" t="s">
        <v>420</v>
      </c>
      <c r="E197">
        <f>_xlfn.XLOOKUP(D197,Regije!B:B,Regije!A:A)</f>
        <v>4</v>
      </c>
      <c r="F197" t="str">
        <f t="shared" si="3"/>
        <v>update postalCodes set RegionID=4 where code=3206;</v>
      </c>
    </row>
    <row r="198" spans="1:6" x14ac:dyDescent="0.3">
      <c r="A198">
        <v>348</v>
      </c>
      <c r="B198">
        <v>3210</v>
      </c>
      <c r="C198" t="s">
        <v>461</v>
      </c>
      <c r="D198" t="s">
        <v>420</v>
      </c>
      <c r="E198">
        <f>_xlfn.XLOOKUP(D198,Regije!B:B,Regije!A:A)</f>
        <v>4</v>
      </c>
      <c r="F198" t="str">
        <f t="shared" si="3"/>
        <v>update postalCodes set RegionID=4 where code=3210;</v>
      </c>
    </row>
    <row r="199" spans="1:6" x14ac:dyDescent="0.3">
      <c r="A199">
        <v>397</v>
      </c>
      <c r="B199">
        <v>3211</v>
      </c>
      <c r="C199" t="s">
        <v>467</v>
      </c>
      <c r="D199" t="s">
        <v>420</v>
      </c>
      <c r="E199">
        <f>_xlfn.XLOOKUP(D199,Regije!B:B,Regije!A:A)</f>
        <v>4</v>
      </c>
      <c r="F199" t="str">
        <f t="shared" si="3"/>
        <v>update postalCodes set RegionID=4 where code=3211;</v>
      </c>
    </row>
    <row r="200" spans="1:6" x14ac:dyDescent="0.3">
      <c r="A200">
        <v>448</v>
      </c>
      <c r="B200">
        <v>3212</v>
      </c>
      <c r="C200" t="s">
        <v>479</v>
      </c>
      <c r="D200" t="s">
        <v>420</v>
      </c>
      <c r="E200">
        <f>_xlfn.XLOOKUP(D200,Regije!B:B,Regije!A:A)</f>
        <v>4</v>
      </c>
      <c r="F200" t="str">
        <f t="shared" si="3"/>
        <v>update postalCodes set RegionID=4 where code=3212;</v>
      </c>
    </row>
    <row r="201" spans="1:6" x14ac:dyDescent="0.3">
      <c r="A201">
        <v>90</v>
      </c>
      <c r="B201">
        <v>3213</v>
      </c>
      <c r="C201" t="s">
        <v>428</v>
      </c>
      <c r="D201" t="s">
        <v>420</v>
      </c>
      <c r="E201">
        <f>_xlfn.XLOOKUP(D201,Regije!B:B,Regije!A:A)</f>
        <v>4</v>
      </c>
      <c r="F201" t="str">
        <f t="shared" si="3"/>
        <v>update postalCodes set RegionID=4 where code=3213;</v>
      </c>
    </row>
    <row r="202" spans="1:6" x14ac:dyDescent="0.3">
      <c r="A202">
        <v>471</v>
      </c>
      <c r="B202">
        <v>3214</v>
      </c>
      <c r="C202" t="s">
        <v>481</v>
      </c>
      <c r="D202" s="2" t="s">
        <v>420</v>
      </c>
      <c r="E202">
        <f>_xlfn.XLOOKUP(D202,Regije!B:B,Regije!A:A)</f>
        <v>4</v>
      </c>
      <c r="F202" t="str">
        <f t="shared" si="3"/>
        <v>update postalCodes set RegionID=4 where code=3214;</v>
      </c>
    </row>
    <row r="203" spans="1:6" x14ac:dyDescent="0.3">
      <c r="A203">
        <v>200</v>
      </c>
      <c r="B203">
        <v>3215</v>
      </c>
      <c r="C203" t="s">
        <v>441</v>
      </c>
      <c r="D203" t="s">
        <v>420</v>
      </c>
      <c r="E203">
        <f>_xlfn.XLOOKUP(D203,Regije!B:B,Regije!A:A)</f>
        <v>4</v>
      </c>
      <c r="F203" t="str">
        <f t="shared" si="3"/>
        <v>update postalCodes set RegionID=4 where code=3215;</v>
      </c>
    </row>
    <row r="204" spans="1:6" x14ac:dyDescent="0.3">
      <c r="A204">
        <v>411</v>
      </c>
      <c r="B204">
        <v>3220</v>
      </c>
      <c r="C204" t="s">
        <v>473</v>
      </c>
      <c r="D204" t="s">
        <v>420</v>
      </c>
      <c r="E204">
        <f>_xlfn.XLOOKUP(D204,Regije!B:B,Regije!A:A)</f>
        <v>4</v>
      </c>
      <c r="F204" t="str">
        <f t="shared" si="3"/>
        <v>update postalCodes set RegionID=4 where code=3220;</v>
      </c>
    </row>
    <row r="205" spans="1:6" x14ac:dyDescent="0.3">
      <c r="A205">
        <v>413</v>
      </c>
      <c r="B205">
        <v>3221</v>
      </c>
      <c r="C205" t="s">
        <v>475</v>
      </c>
      <c r="D205" t="s">
        <v>420</v>
      </c>
      <c r="E205">
        <f>_xlfn.XLOOKUP(D205,Regije!B:B,Regije!A:A)</f>
        <v>4</v>
      </c>
      <c r="F205" t="str">
        <f t="shared" si="3"/>
        <v>update postalCodes set RegionID=4 where code=3221;</v>
      </c>
    </row>
    <row r="206" spans="1:6" x14ac:dyDescent="0.3">
      <c r="A206">
        <v>82</v>
      </c>
      <c r="B206">
        <v>3222</v>
      </c>
      <c r="C206" t="s">
        <v>427</v>
      </c>
      <c r="D206" t="s">
        <v>420</v>
      </c>
      <c r="E206">
        <f>_xlfn.XLOOKUP(D206,Regije!B:B,Regije!A:A)</f>
        <v>4</v>
      </c>
      <c r="F206" t="str">
        <f t="shared" si="3"/>
        <v>update postalCodes set RegionID=4 where code=3222;</v>
      </c>
    </row>
    <row r="207" spans="1:6" x14ac:dyDescent="0.3">
      <c r="A207">
        <v>205</v>
      </c>
      <c r="B207">
        <v>3223</v>
      </c>
      <c r="C207" t="s">
        <v>442</v>
      </c>
      <c r="D207" t="s">
        <v>420</v>
      </c>
      <c r="E207">
        <f>_xlfn.XLOOKUP(D207,Regije!B:B,Regije!A:A)</f>
        <v>4</v>
      </c>
      <c r="F207" t="str">
        <f t="shared" si="3"/>
        <v>update postalCodes set RegionID=4 where code=3223;</v>
      </c>
    </row>
    <row r="208" spans="1:6" x14ac:dyDescent="0.3">
      <c r="A208">
        <v>63</v>
      </c>
      <c r="B208">
        <v>3224</v>
      </c>
      <c r="C208" t="s">
        <v>425</v>
      </c>
      <c r="D208" t="s">
        <v>420</v>
      </c>
      <c r="E208">
        <f>_xlfn.XLOOKUP(D208,Regije!B:B,Regije!A:A)</f>
        <v>4</v>
      </c>
      <c r="F208" t="str">
        <f t="shared" si="3"/>
        <v>update postalCodes set RegionID=4 where code=3224;</v>
      </c>
    </row>
    <row r="209" spans="1:6" x14ac:dyDescent="0.3">
      <c r="A209">
        <v>271</v>
      </c>
      <c r="B209">
        <v>3225</v>
      </c>
      <c r="C209" t="s">
        <v>448</v>
      </c>
      <c r="D209" t="s">
        <v>420</v>
      </c>
      <c r="E209">
        <f>_xlfn.XLOOKUP(D209,Regije!B:B,Regije!A:A)</f>
        <v>4</v>
      </c>
      <c r="F209" t="str">
        <f t="shared" si="3"/>
        <v>update postalCodes set RegionID=4 where code=3225;</v>
      </c>
    </row>
    <row r="210" spans="1:6" x14ac:dyDescent="0.3">
      <c r="A210">
        <v>390</v>
      </c>
      <c r="B210">
        <v>3230</v>
      </c>
      <c r="C210" t="s">
        <v>466</v>
      </c>
      <c r="D210" t="s">
        <v>420</v>
      </c>
      <c r="E210">
        <f>_xlfn.XLOOKUP(D210,Regije!B:B,Regije!A:A)</f>
        <v>4</v>
      </c>
      <c r="F210" t="str">
        <f t="shared" si="3"/>
        <v>update postalCodes set RegionID=4 where code=3230;</v>
      </c>
    </row>
    <row r="211" spans="1:6" x14ac:dyDescent="0.3">
      <c r="A211">
        <v>109</v>
      </c>
      <c r="B211">
        <v>3231</v>
      </c>
      <c r="C211" t="s">
        <v>433</v>
      </c>
      <c r="D211" t="s">
        <v>420</v>
      </c>
      <c r="E211">
        <f>_xlfn.XLOOKUP(D211,Regije!B:B,Regije!A:A)</f>
        <v>4</v>
      </c>
      <c r="F211" t="str">
        <f t="shared" si="3"/>
        <v>update postalCodes set RegionID=4 where code=3231;</v>
      </c>
    </row>
    <row r="212" spans="1:6" x14ac:dyDescent="0.3">
      <c r="A212">
        <v>294</v>
      </c>
      <c r="B212">
        <v>3232</v>
      </c>
      <c r="C212" t="s">
        <v>453</v>
      </c>
      <c r="D212" t="s">
        <v>420</v>
      </c>
      <c r="E212">
        <f>_xlfn.XLOOKUP(D212,Regije!B:B,Regije!A:A)</f>
        <v>4</v>
      </c>
      <c r="F212" t="str">
        <f t="shared" si="3"/>
        <v>update postalCodes set RegionID=4 where code=3232;</v>
      </c>
    </row>
    <row r="213" spans="1:6" x14ac:dyDescent="0.3">
      <c r="A213">
        <v>137</v>
      </c>
      <c r="B213">
        <v>3233</v>
      </c>
      <c r="C213" t="s">
        <v>435</v>
      </c>
      <c r="D213" t="s">
        <v>420</v>
      </c>
      <c r="E213">
        <f>_xlfn.XLOOKUP(D213,Regije!B:B,Regije!A:A)</f>
        <v>4</v>
      </c>
      <c r="F213" t="str">
        <f t="shared" si="3"/>
        <v>update postalCodes set RegionID=4 where code=3233;</v>
      </c>
    </row>
    <row r="214" spans="1:6" x14ac:dyDescent="0.3">
      <c r="A214">
        <v>401</v>
      </c>
      <c r="B214">
        <v>3240</v>
      </c>
      <c r="C214" t="s">
        <v>468</v>
      </c>
      <c r="D214" t="s">
        <v>420</v>
      </c>
      <c r="E214">
        <f>_xlfn.XLOOKUP(D214,Regije!B:B,Regije!A:A)</f>
        <v>4</v>
      </c>
      <c r="F214" t="str">
        <f t="shared" si="3"/>
        <v>update postalCodes set RegionID=4 where code=3240;</v>
      </c>
    </row>
    <row r="215" spans="1:6" x14ac:dyDescent="0.3">
      <c r="A215">
        <v>284</v>
      </c>
      <c r="B215">
        <v>3241</v>
      </c>
      <c r="C215" t="s">
        <v>450</v>
      </c>
      <c r="D215" t="s">
        <v>420</v>
      </c>
      <c r="E215">
        <f>_xlfn.XLOOKUP(D215,Regije!B:B,Regije!A:A)</f>
        <v>4</v>
      </c>
      <c r="F215" t="str">
        <f t="shared" si="3"/>
        <v>update postalCodes set RegionID=4 where code=3241;</v>
      </c>
    </row>
    <row r="216" spans="1:6" x14ac:dyDescent="0.3">
      <c r="A216">
        <v>330</v>
      </c>
      <c r="B216">
        <v>3250</v>
      </c>
      <c r="C216" t="s">
        <v>459</v>
      </c>
      <c r="D216" t="s">
        <v>420</v>
      </c>
      <c r="E216">
        <f>_xlfn.XLOOKUP(D216,Regije!B:B,Regije!A:A)</f>
        <v>4</v>
      </c>
      <c r="F216" t="str">
        <f t="shared" si="3"/>
        <v>update postalCodes set RegionID=4 where code=3250;</v>
      </c>
    </row>
    <row r="217" spans="1:6" x14ac:dyDescent="0.3">
      <c r="A217">
        <v>332</v>
      </c>
      <c r="B217">
        <v>3252</v>
      </c>
      <c r="C217" t="s">
        <v>460</v>
      </c>
      <c r="D217" t="s">
        <v>420</v>
      </c>
      <c r="E217">
        <f>_xlfn.XLOOKUP(D217,Regije!B:B,Regije!A:A)</f>
        <v>4</v>
      </c>
      <c r="F217" t="str">
        <f t="shared" si="3"/>
        <v>update postalCodes set RegionID=4 where code=3252;</v>
      </c>
    </row>
    <row r="218" spans="1:6" x14ac:dyDescent="0.3">
      <c r="A218">
        <v>306</v>
      </c>
      <c r="B218">
        <v>3253</v>
      </c>
      <c r="C218" t="s">
        <v>456</v>
      </c>
      <c r="D218" t="s">
        <v>420</v>
      </c>
      <c r="E218">
        <f>_xlfn.XLOOKUP(D218,Regije!B:B,Regije!A:A)</f>
        <v>4</v>
      </c>
      <c r="F218" t="str">
        <f t="shared" si="3"/>
        <v>update postalCodes set RegionID=4 where code=3253;</v>
      </c>
    </row>
    <row r="219" spans="1:6" x14ac:dyDescent="0.3">
      <c r="A219">
        <v>275</v>
      </c>
      <c r="B219">
        <v>3254</v>
      </c>
      <c r="C219" t="s">
        <v>449</v>
      </c>
      <c r="D219" t="s">
        <v>420</v>
      </c>
      <c r="E219">
        <f>_xlfn.XLOOKUP(D219,Regije!B:B,Regije!A:A)</f>
        <v>4</v>
      </c>
      <c r="F219" t="str">
        <f t="shared" si="3"/>
        <v>update postalCodes set RegionID=4 where code=3254;</v>
      </c>
    </row>
    <row r="220" spans="1:6" x14ac:dyDescent="0.3">
      <c r="A220">
        <v>35</v>
      </c>
      <c r="B220">
        <v>3255</v>
      </c>
      <c r="C220" t="s">
        <v>422</v>
      </c>
      <c r="D220" t="s">
        <v>420</v>
      </c>
      <c r="E220">
        <f>_xlfn.XLOOKUP(D220,Regije!B:B,Regije!A:A)</f>
        <v>4</v>
      </c>
      <c r="F220" t="str">
        <f t="shared" si="3"/>
        <v>update postalCodes set RegionID=4 where code=3255;</v>
      </c>
    </row>
    <row r="221" spans="1:6" x14ac:dyDescent="0.3">
      <c r="A221">
        <v>11</v>
      </c>
      <c r="B221">
        <v>3256</v>
      </c>
      <c r="C221" t="s">
        <v>419</v>
      </c>
      <c r="D221" t="s">
        <v>420</v>
      </c>
      <c r="E221">
        <f>_xlfn.XLOOKUP(D221,Regije!B:B,Regije!A:A)</f>
        <v>4</v>
      </c>
      <c r="F221" t="str">
        <f t="shared" si="3"/>
        <v>update postalCodes set RegionID=4 where code=3256;</v>
      </c>
    </row>
    <row r="222" spans="1:6" x14ac:dyDescent="0.3">
      <c r="A222">
        <v>285</v>
      </c>
      <c r="B222">
        <v>3257</v>
      </c>
      <c r="C222" t="s">
        <v>451</v>
      </c>
      <c r="D222" t="s">
        <v>420</v>
      </c>
      <c r="E222">
        <f>_xlfn.XLOOKUP(D222,Regije!B:B,Regije!A:A)</f>
        <v>4</v>
      </c>
      <c r="F222" t="str">
        <f t="shared" si="3"/>
        <v>update postalCodes set RegionID=4 where code=3257;</v>
      </c>
    </row>
    <row r="223" spans="1:6" x14ac:dyDescent="0.3">
      <c r="A223">
        <v>164</v>
      </c>
      <c r="B223">
        <v>3260</v>
      </c>
      <c r="C223" t="s">
        <v>436</v>
      </c>
      <c r="D223" t="s">
        <v>420</v>
      </c>
      <c r="E223">
        <f>_xlfn.XLOOKUP(D223,Regije!B:B,Regije!A:A)</f>
        <v>4</v>
      </c>
      <c r="F223" t="str">
        <f t="shared" si="3"/>
        <v>update postalCodes set RegionID=4 where code=3260;</v>
      </c>
    </row>
    <row r="224" spans="1:6" x14ac:dyDescent="0.3">
      <c r="A224">
        <v>184</v>
      </c>
      <c r="B224">
        <v>3261</v>
      </c>
      <c r="C224" t="s">
        <v>438</v>
      </c>
      <c r="D224" t="s">
        <v>420</v>
      </c>
      <c r="E224">
        <f>_xlfn.XLOOKUP(D224,Regije!B:B,Regije!A:A)</f>
        <v>4</v>
      </c>
      <c r="F224" t="str">
        <f t="shared" si="3"/>
        <v>update postalCodes set RegionID=4 where code=3261;</v>
      </c>
    </row>
    <row r="225" spans="1:6" x14ac:dyDescent="0.3">
      <c r="A225">
        <v>304</v>
      </c>
      <c r="B225">
        <v>3262</v>
      </c>
      <c r="C225" t="s">
        <v>455</v>
      </c>
      <c r="D225" t="s">
        <v>420</v>
      </c>
      <c r="E225">
        <f>_xlfn.XLOOKUP(D225,Regije!B:B,Regije!A:A)</f>
        <v>4</v>
      </c>
      <c r="F225" t="str">
        <f t="shared" si="3"/>
        <v>update postalCodes set RegionID=4 where code=3262;</v>
      </c>
    </row>
    <row r="226" spans="1:6" x14ac:dyDescent="0.3">
      <c r="A226">
        <v>97</v>
      </c>
      <c r="B226">
        <v>3263</v>
      </c>
      <c r="C226" t="s">
        <v>430</v>
      </c>
      <c r="D226" t="s">
        <v>420</v>
      </c>
      <c r="E226">
        <f>_xlfn.XLOOKUP(D226,Regije!B:B,Regije!A:A)</f>
        <v>4</v>
      </c>
      <c r="F226" t="str">
        <f t="shared" si="3"/>
        <v>update postalCodes set RegionID=4 where code=3263;</v>
      </c>
    </row>
    <row r="227" spans="1:6" x14ac:dyDescent="0.3">
      <c r="A227">
        <v>379</v>
      </c>
      <c r="B227">
        <v>3264</v>
      </c>
      <c r="C227" t="s">
        <v>464</v>
      </c>
      <c r="D227" t="s">
        <v>420</v>
      </c>
      <c r="E227">
        <f>_xlfn.XLOOKUP(D227,Regije!B:B,Regije!A:A)</f>
        <v>4</v>
      </c>
      <c r="F227" t="str">
        <f t="shared" si="3"/>
        <v>update postalCodes set RegionID=4 where code=3264;</v>
      </c>
    </row>
    <row r="228" spans="1:6" x14ac:dyDescent="0.3">
      <c r="A228">
        <v>179</v>
      </c>
      <c r="B228">
        <v>3270</v>
      </c>
      <c r="C228" t="s">
        <v>437</v>
      </c>
      <c r="D228" t="s">
        <v>420</v>
      </c>
      <c r="E228">
        <f>_xlfn.XLOOKUP(D228,Regije!B:B,Regije!A:A)</f>
        <v>4</v>
      </c>
      <c r="F228" t="str">
        <f t="shared" si="3"/>
        <v>update postalCodes set RegionID=4 where code=3270;</v>
      </c>
    </row>
    <row r="229" spans="1:6" x14ac:dyDescent="0.3">
      <c r="A229">
        <v>391</v>
      </c>
      <c r="B229">
        <v>3271</v>
      </c>
      <c r="C229" t="s">
        <v>132</v>
      </c>
      <c r="D229" t="s">
        <v>96</v>
      </c>
      <c r="E229">
        <f>_xlfn.XLOOKUP(D229,Regije!B:B,Regije!A:A)</f>
        <v>7</v>
      </c>
      <c r="F229" t="str">
        <f t="shared" si="3"/>
        <v>update postalCodes set RegionID=7 where code=3271;</v>
      </c>
    </row>
    <row r="230" spans="1:6" x14ac:dyDescent="0.3">
      <c r="A230">
        <v>327</v>
      </c>
      <c r="B230">
        <v>3272</v>
      </c>
      <c r="C230" t="s">
        <v>458</v>
      </c>
      <c r="D230" t="s">
        <v>420</v>
      </c>
      <c r="E230">
        <f>_xlfn.XLOOKUP(D230,Regije!B:B,Regije!A:A)</f>
        <v>4</v>
      </c>
      <c r="F230" t="str">
        <f t="shared" si="3"/>
        <v>update postalCodes set RegionID=4 where code=3272;</v>
      </c>
    </row>
    <row r="231" spans="1:6" x14ac:dyDescent="0.3">
      <c r="A231">
        <v>133</v>
      </c>
      <c r="B231">
        <v>3273</v>
      </c>
      <c r="C231" t="s">
        <v>434</v>
      </c>
      <c r="D231" t="s">
        <v>420</v>
      </c>
      <c r="E231">
        <f>_xlfn.XLOOKUP(D231,Regije!B:B,Regije!A:A)</f>
        <v>4</v>
      </c>
      <c r="F231" t="str">
        <f t="shared" si="3"/>
        <v>update postalCodes set RegionID=4 where code=3273;</v>
      </c>
    </row>
    <row r="232" spans="1:6" x14ac:dyDescent="0.3">
      <c r="A232">
        <v>266</v>
      </c>
      <c r="B232">
        <v>3301</v>
      </c>
      <c r="C232" t="s">
        <v>447</v>
      </c>
      <c r="D232" t="s">
        <v>420</v>
      </c>
      <c r="E232">
        <f>_xlfn.XLOOKUP(D232,Regije!B:B,Regije!A:A)</f>
        <v>4</v>
      </c>
      <c r="F232" t="str">
        <f t="shared" si="3"/>
        <v>update postalCodes set RegionID=4 where code=3301;</v>
      </c>
    </row>
    <row r="233" spans="1:6" x14ac:dyDescent="0.3">
      <c r="A233">
        <v>108</v>
      </c>
      <c r="B233">
        <v>3302</v>
      </c>
      <c r="C233" t="s">
        <v>432</v>
      </c>
      <c r="D233" t="s">
        <v>420</v>
      </c>
      <c r="E233">
        <f>_xlfn.XLOOKUP(D233,Regije!B:B,Regije!A:A)</f>
        <v>4</v>
      </c>
      <c r="F233" t="str">
        <f t="shared" si="3"/>
        <v>update postalCodes set RegionID=4 where code=3302;</v>
      </c>
    </row>
    <row r="234" spans="1:6" x14ac:dyDescent="0.3">
      <c r="A234">
        <v>95</v>
      </c>
      <c r="B234">
        <v>3303</v>
      </c>
      <c r="C234" t="s">
        <v>429</v>
      </c>
      <c r="D234" t="s">
        <v>420</v>
      </c>
      <c r="E234">
        <f>_xlfn.XLOOKUP(D234,Regije!B:B,Regije!A:A)</f>
        <v>4</v>
      </c>
      <c r="F234" t="str">
        <f t="shared" si="3"/>
        <v>update postalCodes set RegionID=4 where code=3303;</v>
      </c>
    </row>
    <row r="235" spans="1:6" x14ac:dyDescent="0.3">
      <c r="A235">
        <v>412</v>
      </c>
      <c r="B235">
        <v>3304</v>
      </c>
      <c r="C235" t="s">
        <v>474</v>
      </c>
      <c r="D235" t="s">
        <v>420</v>
      </c>
      <c r="E235">
        <f>_xlfn.XLOOKUP(D235,Regije!B:B,Regije!A:A)</f>
        <v>4</v>
      </c>
      <c r="F235" t="str">
        <f t="shared" si="3"/>
        <v>update postalCodes set RegionID=4 where code=3304;</v>
      </c>
    </row>
    <row r="236" spans="1:6" x14ac:dyDescent="0.3">
      <c r="A236">
        <v>451</v>
      </c>
      <c r="B236">
        <v>3305</v>
      </c>
      <c r="C236" t="s">
        <v>480</v>
      </c>
      <c r="D236" t="s">
        <v>420</v>
      </c>
      <c r="E236">
        <f>_xlfn.XLOOKUP(D236,Regije!B:B,Regije!A:A)</f>
        <v>4</v>
      </c>
      <c r="F236" t="str">
        <f t="shared" si="3"/>
        <v>update postalCodes set RegionID=4 where code=3305;</v>
      </c>
    </row>
    <row r="237" spans="1:6" x14ac:dyDescent="0.3">
      <c r="A237">
        <v>473</v>
      </c>
      <c r="B237">
        <v>3310</v>
      </c>
      <c r="C237" t="s">
        <v>482</v>
      </c>
      <c r="D237" t="s">
        <v>420</v>
      </c>
      <c r="E237">
        <f>_xlfn.XLOOKUP(D237,Regije!B:B,Regije!A:A)</f>
        <v>4</v>
      </c>
      <c r="F237" t="str">
        <f t="shared" si="3"/>
        <v>update postalCodes set RegionID=4 where code=3310;</v>
      </c>
    </row>
    <row r="238" spans="1:6" x14ac:dyDescent="0.3">
      <c r="A238">
        <v>384</v>
      </c>
      <c r="B238">
        <v>3311</v>
      </c>
      <c r="C238" t="s">
        <v>465</v>
      </c>
      <c r="D238" t="s">
        <v>420</v>
      </c>
      <c r="E238">
        <f>_xlfn.XLOOKUP(D238,Regije!B:B,Regije!A:A)</f>
        <v>4</v>
      </c>
      <c r="F238" t="str">
        <f t="shared" si="3"/>
        <v>update postalCodes set RegionID=4 where code=3311;</v>
      </c>
    </row>
    <row r="239" spans="1:6" x14ac:dyDescent="0.3">
      <c r="A239">
        <v>298</v>
      </c>
      <c r="B239">
        <v>3312</v>
      </c>
      <c r="C239" t="s">
        <v>454</v>
      </c>
      <c r="D239" t="s">
        <v>420</v>
      </c>
      <c r="E239">
        <f>_xlfn.XLOOKUP(D239,Regije!B:B,Regije!A:A)</f>
        <v>4</v>
      </c>
      <c r="F239" t="str">
        <f t="shared" si="3"/>
        <v>update postalCodes set RegionID=4 where code=3312;</v>
      </c>
    </row>
    <row r="240" spans="1:6" x14ac:dyDescent="0.3">
      <c r="A240">
        <v>293</v>
      </c>
      <c r="B240">
        <v>3313</v>
      </c>
      <c r="C240" t="s">
        <v>452</v>
      </c>
      <c r="D240" t="s">
        <v>420</v>
      </c>
      <c r="E240">
        <f>_xlfn.XLOOKUP(D240,Regije!B:B,Regije!A:A)</f>
        <v>4</v>
      </c>
      <c r="F240" t="str">
        <f t="shared" si="3"/>
        <v>update postalCodes set RegionID=4 where code=3313;</v>
      </c>
    </row>
    <row r="241" spans="1:6" x14ac:dyDescent="0.3">
      <c r="A241">
        <v>26</v>
      </c>
      <c r="B241">
        <v>3314</v>
      </c>
      <c r="C241" t="s">
        <v>421</v>
      </c>
      <c r="D241" t="s">
        <v>420</v>
      </c>
      <c r="E241">
        <f>_xlfn.XLOOKUP(D241,Regije!B:B,Regije!A:A)</f>
        <v>4</v>
      </c>
      <c r="F241" t="str">
        <f t="shared" si="3"/>
        <v>update postalCodes set RegionID=4 where code=3314;</v>
      </c>
    </row>
    <row r="242" spans="1:6" x14ac:dyDescent="0.3">
      <c r="A242">
        <v>431</v>
      </c>
      <c r="B242">
        <v>3320</v>
      </c>
      <c r="C242" t="s">
        <v>477</v>
      </c>
      <c r="D242" t="s">
        <v>420</v>
      </c>
      <c r="E242">
        <f>_xlfn.XLOOKUP(D242,Regije!B:B,Regije!A:A)</f>
        <v>4</v>
      </c>
      <c r="F242" t="str">
        <f t="shared" si="3"/>
        <v>update postalCodes set RegionID=4 where code=3320;</v>
      </c>
    </row>
    <row r="243" spans="1:6" x14ac:dyDescent="0.3">
      <c r="A243">
        <v>432</v>
      </c>
      <c r="B243">
        <v>3322</v>
      </c>
      <c r="C243" t="s">
        <v>477</v>
      </c>
      <c r="D243" t="s">
        <v>420</v>
      </c>
      <c r="E243">
        <f>_xlfn.XLOOKUP(D243,Regije!B:B,Regije!A:A)</f>
        <v>4</v>
      </c>
      <c r="F243" t="str">
        <f t="shared" si="3"/>
        <v>update postalCodes set RegionID=4 where code=3322;</v>
      </c>
    </row>
    <row r="244" spans="1:6" x14ac:dyDescent="0.3">
      <c r="A244">
        <v>409</v>
      </c>
      <c r="B244">
        <v>3325</v>
      </c>
      <c r="C244" t="s">
        <v>472</v>
      </c>
      <c r="D244" t="s">
        <v>420</v>
      </c>
      <c r="E244">
        <f>_xlfn.XLOOKUP(D244,Regije!B:B,Regije!A:A)</f>
        <v>4</v>
      </c>
      <c r="F244" t="str">
        <f t="shared" si="3"/>
        <v>update postalCodes set RegionID=4 where code=3325;</v>
      </c>
    </row>
    <row r="245" spans="1:6" x14ac:dyDescent="0.3">
      <c r="A245">
        <v>416</v>
      </c>
      <c r="B245">
        <v>3326</v>
      </c>
      <c r="C245" t="s">
        <v>476</v>
      </c>
      <c r="D245" t="s">
        <v>420</v>
      </c>
      <c r="E245">
        <f>_xlfn.XLOOKUP(D245,Regije!B:B,Regije!A:A)</f>
        <v>4</v>
      </c>
      <c r="F245" t="str">
        <f t="shared" si="3"/>
        <v>update postalCodes set RegionID=4 where code=3326;</v>
      </c>
    </row>
    <row r="246" spans="1:6" x14ac:dyDescent="0.3">
      <c r="A246">
        <v>405</v>
      </c>
      <c r="B246">
        <v>3327</v>
      </c>
      <c r="C246" t="s">
        <v>470</v>
      </c>
      <c r="D246" t="s">
        <v>420</v>
      </c>
      <c r="E246">
        <f>_xlfn.XLOOKUP(D246,Regije!B:B,Regije!A:A)</f>
        <v>4</v>
      </c>
      <c r="F246" t="str">
        <f t="shared" si="3"/>
        <v>update postalCodes set RegionID=4 where code=3327;</v>
      </c>
    </row>
    <row r="247" spans="1:6" x14ac:dyDescent="0.3">
      <c r="A247">
        <v>241</v>
      </c>
      <c r="B247">
        <v>3330</v>
      </c>
      <c r="C247" t="s">
        <v>444</v>
      </c>
      <c r="D247" t="s">
        <v>420</v>
      </c>
      <c r="E247">
        <f>_xlfn.XLOOKUP(D247,Regije!B:B,Regije!A:A)</f>
        <v>4</v>
      </c>
      <c r="F247" t="str">
        <f t="shared" si="3"/>
        <v>update postalCodes set RegionID=4 where code=3330;</v>
      </c>
    </row>
    <row r="248" spans="1:6" x14ac:dyDescent="0.3">
      <c r="A248">
        <v>246</v>
      </c>
      <c r="B248">
        <v>3331</v>
      </c>
      <c r="C248" t="s">
        <v>445</v>
      </c>
      <c r="D248" t="s">
        <v>420</v>
      </c>
      <c r="E248">
        <f>_xlfn.XLOOKUP(D248,Regije!B:B,Regije!A:A)</f>
        <v>4</v>
      </c>
      <c r="F248" t="str">
        <f t="shared" si="3"/>
        <v>update postalCodes set RegionID=4 where code=3331;</v>
      </c>
    </row>
    <row r="249" spans="1:6" x14ac:dyDescent="0.3">
      <c r="A249">
        <v>323</v>
      </c>
      <c r="B249">
        <v>3332</v>
      </c>
      <c r="C249" t="s">
        <v>457</v>
      </c>
      <c r="D249" t="s">
        <v>420</v>
      </c>
      <c r="E249">
        <f>_xlfn.XLOOKUP(D249,Regije!B:B,Regije!A:A)</f>
        <v>4</v>
      </c>
      <c r="F249" t="str">
        <f t="shared" si="3"/>
        <v>update postalCodes set RegionID=4 where code=3332;</v>
      </c>
    </row>
    <row r="250" spans="1:6" x14ac:dyDescent="0.3">
      <c r="A250">
        <v>198</v>
      </c>
      <c r="B250">
        <v>3333</v>
      </c>
      <c r="C250" t="s">
        <v>440</v>
      </c>
      <c r="D250" t="s">
        <v>420</v>
      </c>
      <c r="E250">
        <f>_xlfn.XLOOKUP(D250,Regije!B:B,Regije!A:A)</f>
        <v>4</v>
      </c>
      <c r="F250" t="str">
        <f t="shared" si="3"/>
        <v>update postalCodes set RegionID=4 where code=3333;</v>
      </c>
    </row>
    <row r="251" spans="1:6" x14ac:dyDescent="0.3">
      <c r="A251">
        <v>210</v>
      </c>
      <c r="B251">
        <v>3334</v>
      </c>
      <c r="C251" t="s">
        <v>443</v>
      </c>
      <c r="D251" t="s">
        <v>420</v>
      </c>
      <c r="E251">
        <f>_xlfn.XLOOKUP(D251,Regije!B:B,Regije!A:A)</f>
        <v>4</v>
      </c>
      <c r="F251" t="str">
        <f t="shared" si="3"/>
        <v>update postalCodes set RegionID=4 where code=3334;</v>
      </c>
    </row>
    <row r="252" spans="1:6" x14ac:dyDescent="0.3">
      <c r="A252">
        <v>352</v>
      </c>
      <c r="B252">
        <v>3335</v>
      </c>
      <c r="C252" t="s">
        <v>462</v>
      </c>
      <c r="D252" t="s">
        <v>420</v>
      </c>
      <c r="E252">
        <f>_xlfn.XLOOKUP(D252,Regije!B:B,Regije!A:A)</f>
        <v>4</v>
      </c>
      <c r="F252" t="str">
        <f t="shared" si="3"/>
        <v>update postalCodes set RegionID=4 where code=3335;</v>
      </c>
    </row>
    <row r="253" spans="1:6" x14ac:dyDescent="0.3">
      <c r="A253">
        <v>404</v>
      </c>
      <c r="B253">
        <v>3341</v>
      </c>
      <c r="C253" t="s">
        <v>469</v>
      </c>
      <c r="D253" t="s">
        <v>420</v>
      </c>
      <c r="E253">
        <f>_xlfn.XLOOKUP(D253,Regije!B:B,Regije!A:A)</f>
        <v>4</v>
      </c>
      <c r="F253" t="str">
        <f t="shared" si="3"/>
        <v>update postalCodes set RegionID=4 where code=3341;</v>
      </c>
    </row>
    <row r="254" spans="1:6" x14ac:dyDescent="0.3">
      <c r="A254">
        <v>100</v>
      </c>
      <c r="B254">
        <v>3342</v>
      </c>
      <c r="C254" t="s">
        <v>431</v>
      </c>
      <c r="D254" t="s">
        <v>420</v>
      </c>
      <c r="E254">
        <f>_xlfn.XLOOKUP(D254,Regije!B:B,Regije!A:A)</f>
        <v>4</v>
      </c>
      <c r="F254" t="str">
        <f t="shared" si="3"/>
        <v>update postalCodes set RegionID=4 where code=3342;</v>
      </c>
    </row>
    <row r="255" spans="1:6" x14ac:dyDescent="0.3">
      <c r="A255">
        <v>165</v>
      </c>
      <c r="B255">
        <v>4000</v>
      </c>
      <c r="C255" t="s">
        <v>22</v>
      </c>
      <c r="D255" t="s">
        <v>6</v>
      </c>
      <c r="E255">
        <f>_xlfn.XLOOKUP(D255,Regije!B:B,Regije!A:A)</f>
        <v>9</v>
      </c>
      <c r="F255" t="str">
        <f t="shared" si="3"/>
        <v>update postalCodes set RegionID=9 where code=4000;</v>
      </c>
    </row>
    <row r="256" spans="1:6" x14ac:dyDescent="0.3">
      <c r="A256">
        <v>166</v>
      </c>
      <c r="B256">
        <v>4001</v>
      </c>
      <c r="C256" t="s">
        <v>23</v>
      </c>
      <c r="D256" t="s">
        <v>6</v>
      </c>
      <c r="E256">
        <f>_xlfn.XLOOKUP(D256,Regije!B:B,Regije!A:A)</f>
        <v>9</v>
      </c>
      <c r="F256" t="str">
        <f t="shared" si="3"/>
        <v>update postalCodes set RegionID=9 where code=4001;</v>
      </c>
    </row>
    <row r="257" spans="1:6" x14ac:dyDescent="0.3">
      <c r="A257">
        <v>461</v>
      </c>
      <c r="B257">
        <v>4201</v>
      </c>
      <c r="C257" t="s">
        <v>44</v>
      </c>
      <c r="D257" t="s">
        <v>6</v>
      </c>
      <c r="E257">
        <f>_xlfn.XLOOKUP(D257,Regije!B:B,Regije!A:A)</f>
        <v>9</v>
      </c>
      <c r="F257" t="str">
        <f t="shared" si="3"/>
        <v>update postalCodes set RegionID=9 where code=4201;</v>
      </c>
    </row>
    <row r="258" spans="1:6" x14ac:dyDescent="0.3">
      <c r="A258">
        <v>245</v>
      </c>
      <c r="B258">
        <v>4202</v>
      </c>
      <c r="C258" t="s">
        <v>30</v>
      </c>
      <c r="D258" t="s">
        <v>6</v>
      </c>
      <c r="E258">
        <f>_xlfn.XLOOKUP(D258,Regije!B:B,Regije!A:A)</f>
        <v>9</v>
      </c>
      <c r="F258" t="str">
        <f t="shared" si="3"/>
        <v>update postalCodes set RegionID=9 where code=4202;</v>
      </c>
    </row>
    <row r="259" spans="1:6" x14ac:dyDescent="0.3">
      <c r="A259">
        <v>84</v>
      </c>
      <c r="B259">
        <v>4203</v>
      </c>
      <c r="C259" t="s">
        <v>15</v>
      </c>
      <c r="D259" t="s">
        <v>6</v>
      </c>
      <c r="E259">
        <f>_xlfn.XLOOKUP(D259,Regije!B:B,Regije!A:A)</f>
        <v>9</v>
      </c>
      <c r="F259" t="str">
        <f t="shared" ref="F259:F322" si="4">"update postalCodes set RegionID="&amp;E259&amp;" where code="&amp;B259&amp;";"</f>
        <v>update postalCodes set RegionID=9 where code=4203;</v>
      </c>
    </row>
    <row r="260" spans="1:6" x14ac:dyDescent="0.3">
      <c r="A260">
        <v>94</v>
      </c>
      <c r="B260">
        <v>4204</v>
      </c>
      <c r="C260" t="s">
        <v>16</v>
      </c>
      <c r="D260" t="s">
        <v>6</v>
      </c>
      <c r="E260">
        <f>_xlfn.XLOOKUP(D260,Regije!B:B,Regije!A:A)</f>
        <v>9</v>
      </c>
      <c r="F260" t="str">
        <f t="shared" si="4"/>
        <v>update postalCodes set RegionID=9 where code=4204;</v>
      </c>
    </row>
    <row r="261" spans="1:6" x14ac:dyDescent="0.3">
      <c r="A261">
        <v>299</v>
      </c>
      <c r="B261">
        <v>4205</v>
      </c>
      <c r="C261" t="s">
        <v>33</v>
      </c>
      <c r="D261" t="s">
        <v>6</v>
      </c>
      <c r="E261">
        <f>_xlfn.XLOOKUP(D261,Regije!B:B,Regije!A:A)</f>
        <v>9</v>
      </c>
      <c r="F261" t="str">
        <f t="shared" si="4"/>
        <v>update postalCodes set RegionID=9 where code=4205;</v>
      </c>
    </row>
    <row r="262" spans="1:6" x14ac:dyDescent="0.3">
      <c r="A262">
        <v>468</v>
      </c>
      <c r="B262">
        <v>4206</v>
      </c>
      <c r="C262" t="s">
        <v>46</v>
      </c>
      <c r="D262" t="s">
        <v>6</v>
      </c>
      <c r="E262">
        <f>_xlfn.XLOOKUP(D262,Regije!B:B,Regije!A:A)</f>
        <v>9</v>
      </c>
      <c r="F262" t="str">
        <f t="shared" si="4"/>
        <v>update postalCodes set RegionID=9 where code=4206;</v>
      </c>
    </row>
    <row r="263" spans="1:6" x14ac:dyDescent="0.3">
      <c r="A263">
        <v>40</v>
      </c>
      <c r="B263">
        <v>4207</v>
      </c>
      <c r="C263" t="s">
        <v>14</v>
      </c>
      <c r="D263" t="s">
        <v>6</v>
      </c>
      <c r="E263">
        <f>_xlfn.XLOOKUP(D263,Regije!B:B,Regije!A:A)</f>
        <v>9</v>
      </c>
      <c r="F263" t="str">
        <f t="shared" si="4"/>
        <v>update postalCodes set RegionID=9 where code=4207;</v>
      </c>
    </row>
    <row r="264" spans="1:6" x14ac:dyDescent="0.3">
      <c r="A264">
        <v>385</v>
      </c>
      <c r="B264">
        <v>4208</v>
      </c>
      <c r="C264" t="s">
        <v>40</v>
      </c>
      <c r="D264" t="s">
        <v>6</v>
      </c>
      <c r="E264">
        <f>_xlfn.XLOOKUP(D264,Regije!B:B,Regije!A:A)</f>
        <v>9</v>
      </c>
      <c r="F264" t="str">
        <f t="shared" si="4"/>
        <v>update postalCodes set RegionID=9 where code=4208;</v>
      </c>
    </row>
    <row r="265" spans="1:6" x14ac:dyDescent="0.3">
      <c r="A265">
        <v>472</v>
      </c>
      <c r="B265">
        <v>4209</v>
      </c>
      <c r="C265" t="s">
        <v>47</v>
      </c>
      <c r="D265" t="s">
        <v>6</v>
      </c>
      <c r="E265">
        <f>_xlfn.XLOOKUP(D265,Regije!B:B,Regije!A:A)</f>
        <v>9</v>
      </c>
      <c r="F265" t="str">
        <f t="shared" si="4"/>
        <v>update postalCodes set RegionID=9 where code=4209;</v>
      </c>
    </row>
    <row r="266" spans="1:6" x14ac:dyDescent="0.3">
      <c r="A266">
        <v>33</v>
      </c>
      <c r="B266">
        <v>4210</v>
      </c>
      <c r="C266" t="s">
        <v>13</v>
      </c>
      <c r="D266" t="s">
        <v>6</v>
      </c>
      <c r="E266">
        <f>_xlfn.XLOOKUP(D266,Regije!B:B,Regije!A:A)</f>
        <v>9</v>
      </c>
      <c r="F266" t="str">
        <f t="shared" si="4"/>
        <v>update postalCodes set RegionID=9 where code=4210;</v>
      </c>
    </row>
    <row r="267" spans="1:6" x14ac:dyDescent="0.3">
      <c r="A267">
        <v>224</v>
      </c>
      <c r="B267">
        <v>4211</v>
      </c>
      <c r="C267" t="s">
        <v>28</v>
      </c>
      <c r="D267" t="s">
        <v>6</v>
      </c>
      <c r="E267">
        <f>_xlfn.XLOOKUP(D267,Regije!B:B,Regije!A:A)</f>
        <v>9</v>
      </c>
      <c r="F267" t="str">
        <f t="shared" si="4"/>
        <v>update postalCodes set RegionID=9 where code=4211;</v>
      </c>
    </row>
    <row r="268" spans="1:6" x14ac:dyDescent="0.3">
      <c r="A268">
        <v>443</v>
      </c>
      <c r="B268">
        <v>4212</v>
      </c>
      <c r="C268" t="s">
        <v>43</v>
      </c>
      <c r="D268" t="s">
        <v>6</v>
      </c>
      <c r="E268">
        <f>_xlfn.XLOOKUP(D268,Regije!B:B,Regije!A:A)</f>
        <v>9</v>
      </c>
      <c r="F268" t="str">
        <f t="shared" si="4"/>
        <v>update postalCodes set RegionID=9 where code=4212;</v>
      </c>
    </row>
    <row r="269" spans="1:6" x14ac:dyDescent="0.3">
      <c r="A269">
        <v>396</v>
      </c>
      <c r="B269">
        <v>4220</v>
      </c>
      <c r="C269" t="s">
        <v>41</v>
      </c>
      <c r="D269" t="s">
        <v>6</v>
      </c>
      <c r="E269">
        <f>_xlfn.XLOOKUP(D269,Regije!B:B,Regije!A:A)</f>
        <v>9</v>
      </c>
      <c r="F269" t="str">
        <f t="shared" si="4"/>
        <v>update postalCodes set RegionID=9 where code=4220;</v>
      </c>
    </row>
    <row r="270" spans="1:6" x14ac:dyDescent="0.3">
      <c r="A270">
        <v>290</v>
      </c>
      <c r="B270">
        <v>4223</v>
      </c>
      <c r="C270" t="s">
        <v>32</v>
      </c>
      <c r="D270" t="s">
        <v>6</v>
      </c>
      <c r="E270">
        <f>_xlfn.XLOOKUP(D270,Regije!B:B,Regije!A:A)</f>
        <v>9</v>
      </c>
      <c r="F270" t="str">
        <f t="shared" si="4"/>
        <v>update postalCodes set RegionID=9 where code=4223;</v>
      </c>
    </row>
    <row r="271" spans="1:6" x14ac:dyDescent="0.3">
      <c r="A271">
        <v>96</v>
      </c>
      <c r="B271">
        <v>4224</v>
      </c>
      <c r="C271" t="s">
        <v>17</v>
      </c>
      <c r="D271" t="s">
        <v>6</v>
      </c>
      <c r="E271">
        <f>_xlfn.XLOOKUP(D271,Regije!B:B,Regije!A:A)</f>
        <v>9</v>
      </c>
      <c r="F271" t="str">
        <f t="shared" si="4"/>
        <v>update postalCodes set RegionID=9 where code=4224;</v>
      </c>
    </row>
    <row r="272" spans="1:6" x14ac:dyDescent="0.3">
      <c r="A272">
        <v>355</v>
      </c>
      <c r="B272">
        <v>4225</v>
      </c>
      <c r="C272" t="s">
        <v>38</v>
      </c>
      <c r="D272" t="s">
        <v>6</v>
      </c>
      <c r="E272">
        <f>_xlfn.XLOOKUP(D272,Regije!B:B,Regije!A:A)</f>
        <v>9</v>
      </c>
      <c r="F272" t="str">
        <f t="shared" si="4"/>
        <v>update postalCodes set RegionID=9 where code=4225;</v>
      </c>
    </row>
    <row r="273" spans="1:6" x14ac:dyDescent="0.3">
      <c r="A273">
        <v>476</v>
      </c>
      <c r="B273">
        <v>4226</v>
      </c>
      <c r="C273" t="s">
        <v>49</v>
      </c>
      <c r="D273" t="s">
        <v>6</v>
      </c>
      <c r="E273">
        <f>_xlfn.XLOOKUP(D273,Regije!B:B,Regije!A:A)</f>
        <v>9</v>
      </c>
      <c r="F273" t="str">
        <f t="shared" si="4"/>
        <v>update postalCodes set RegionID=9 where code=4226;</v>
      </c>
    </row>
    <row r="274" spans="1:6" x14ac:dyDescent="0.3">
      <c r="A274">
        <v>337</v>
      </c>
      <c r="B274">
        <v>4227</v>
      </c>
      <c r="C274" t="s">
        <v>36</v>
      </c>
      <c r="D274" t="s">
        <v>6</v>
      </c>
      <c r="E274">
        <f>_xlfn.XLOOKUP(D274,Regije!B:B,Regije!A:A)</f>
        <v>9</v>
      </c>
      <c r="F274" t="str">
        <f t="shared" si="4"/>
        <v>update postalCodes set RegionID=9 where code=4227;</v>
      </c>
    </row>
    <row r="275" spans="1:6" x14ac:dyDescent="0.3">
      <c r="A275">
        <v>474</v>
      </c>
      <c r="B275">
        <v>4228</v>
      </c>
      <c r="C275" t="s">
        <v>48</v>
      </c>
      <c r="D275" t="s">
        <v>6</v>
      </c>
      <c r="E275">
        <f>_xlfn.XLOOKUP(D275,Regije!B:B,Regije!A:A)</f>
        <v>9</v>
      </c>
      <c r="F275" t="str">
        <f t="shared" si="4"/>
        <v>update postalCodes set RegionID=9 where code=4228;</v>
      </c>
    </row>
    <row r="276" spans="1:6" x14ac:dyDescent="0.3">
      <c r="A276">
        <v>354</v>
      </c>
      <c r="B276">
        <v>4229</v>
      </c>
      <c r="C276" t="s">
        <v>37</v>
      </c>
      <c r="D276" t="s">
        <v>6</v>
      </c>
      <c r="E276">
        <f>_xlfn.XLOOKUP(D276,Regije!B:B,Regije!A:A)</f>
        <v>9</v>
      </c>
      <c r="F276" t="str">
        <f t="shared" si="4"/>
        <v>update postalCodes set RegionID=9 where code=4229;</v>
      </c>
    </row>
    <row r="277" spans="1:6" x14ac:dyDescent="0.3">
      <c r="A277">
        <v>317</v>
      </c>
      <c r="B277">
        <v>4240</v>
      </c>
      <c r="C277" t="s">
        <v>34</v>
      </c>
      <c r="D277" t="s">
        <v>6</v>
      </c>
      <c r="E277">
        <f>_xlfn.XLOOKUP(D277,Regije!B:B,Regije!A:A)</f>
        <v>9</v>
      </c>
      <c r="F277" t="str">
        <f t="shared" si="4"/>
        <v>update postalCodes set RegionID=9 where code=4240;</v>
      </c>
    </row>
    <row r="278" spans="1:6" x14ac:dyDescent="0.3">
      <c r="A278">
        <v>30</v>
      </c>
      <c r="B278">
        <v>4243</v>
      </c>
      <c r="C278" t="s">
        <v>12</v>
      </c>
      <c r="D278" t="s">
        <v>6</v>
      </c>
      <c r="E278">
        <f>_xlfn.XLOOKUP(D278,Regije!B:B,Regije!A:A)</f>
        <v>9</v>
      </c>
      <c r="F278" t="str">
        <f t="shared" si="4"/>
        <v>update postalCodes set RegionID=9 where code=4243;</v>
      </c>
    </row>
    <row r="279" spans="1:6" x14ac:dyDescent="0.3">
      <c r="A279">
        <v>283</v>
      </c>
      <c r="B279">
        <v>4244</v>
      </c>
      <c r="C279" t="s">
        <v>31</v>
      </c>
      <c r="D279" t="s">
        <v>6</v>
      </c>
      <c r="E279">
        <f>_xlfn.XLOOKUP(D279,Regije!B:B,Regije!A:A)</f>
        <v>9</v>
      </c>
      <c r="F279" t="str">
        <f t="shared" si="4"/>
        <v>update postalCodes set RegionID=9 where code=4244;</v>
      </c>
    </row>
    <row r="280" spans="1:6" x14ac:dyDescent="0.3">
      <c r="A280">
        <v>174</v>
      </c>
      <c r="B280">
        <v>4245</v>
      </c>
      <c r="C280" t="s">
        <v>26</v>
      </c>
      <c r="D280" t="s">
        <v>6</v>
      </c>
      <c r="E280">
        <f>_xlfn.XLOOKUP(D280,Regije!B:B,Regije!A:A)</f>
        <v>9</v>
      </c>
      <c r="F280" t="str">
        <f t="shared" si="4"/>
        <v>update postalCodes set RegionID=9 where code=4245;</v>
      </c>
    </row>
    <row r="281" spans="1:6" x14ac:dyDescent="0.3">
      <c r="A281">
        <v>138</v>
      </c>
      <c r="B281">
        <v>4246</v>
      </c>
      <c r="C281" t="s">
        <v>21</v>
      </c>
      <c r="D281" t="s">
        <v>6</v>
      </c>
      <c r="E281">
        <f>_xlfn.XLOOKUP(D281,Regije!B:B,Regije!A:A)</f>
        <v>9</v>
      </c>
      <c r="F281" t="str">
        <f t="shared" si="4"/>
        <v>update postalCodes set RegionID=9 where code=4246;</v>
      </c>
    </row>
    <row r="282" spans="1:6" x14ac:dyDescent="0.3">
      <c r="A282">
        <v>467</v>
      </c>
      <c r="B282">
        <v>4247</v>
      </c>
      <c r="C282" t="s">
        <v>45</v>
      </c>
      <c r="D282" t="s">
        <v>6</v>
      </c>
      <c r="E282">
        <f>_xlfn.XLOOKUP(D282,Regije!B:B,Regije!A:A)</f>
        <v>9</v>
      </c>
      <c r="F282" t="str">
        <f t="shared" si="4"/>
        <v>update postalCodes set RegionID=9 where code=4247;</v>
      </c>
    </row>
    <row r="283" spans="1:6" x14ac:dyDescent="0.3">
      <c r="A283">
        <v>183</v>
      </c>
      <c r="B283">
        <v>4248</v>
      </c>
      <c r="C283" t="s">
        <v>27</v>
      </c>
      <c r="D283" t="s">
        <v>6</v>
      </c>
      <c r="E283">
        <f>_xlfn.XLOOKUP(D283,Regije!B:B,Regije!A:A)</f>
        <v>9</v>
      </c>
      <c r="F283" t="str">
        <f t="shared" si="4"/>
        <v>update postalCodes set RegionID=9 where code=4248;</v>
      </c>
    </row>
    <row r="284" spans="1:6" x14ac:dyDescent="0.3">
      <c r="A284">
        <v>15</v>
      </c>
      <c r="B284">
        <v>4260</v>
      </c>
      <c r="C284" t="s">
        <v>7</v>
      </c>
      <c r="D284" t="s">
        <v>6</v>
      </c>
      <c r="E284">
        <f>_xlfn.XLOOKUP(D284,Regije!B:B,Regije!A:A)</f>
        <v>9</v>
      </c>
      <c r="F284" t="str">
        <f t="shared" si="4"/>
        <v>update postalCodes set RegionID=9 where code=4260;</v>
      </c>
    </row>
    <row r="285" spans="1:6" x14ac:dyDescent="0.3">
      <c r="A285">
        <v>19</v>
      </c>
      <c r="B285">
        <v>4263</v>
      </c>
      <c r="C285" t="s">
        <v>9</v>
      </c>
      <c r="D285" t="s">
        <v>6</v>
      </c>
      <c r="E285">
        <f>_xlfn.XLOOKUP(D285,Regije!B:B,Regije!A:A)</f>
        <v>9</v>
      </c>
      <c r="F285" t="str">
        <f t="shared" si="4"/>
        <v>update postalCodes set RegionID=9 where code=4263;</v>
      </c>
    </row>
    <row r="286" spans="1:6" x14ac:dyDescent="0.3">
      <c r="A286">
        <v>20</v>
      </c>
      <c r="B286">
        <v>4264</v>
      </c>
      <c r="C286" t="s">
        <v>10</v>
      </c>
      <c r="D286" t="s">
        <v>6</v>
      </c>
      <c r="E286">
        <f>_xlfn.XLOOKUP(D286,Regije!B:B,Regije!A:A)</f>
        <v>9</v>
      </c>
      <c r="F286" t="str">
        <f t="shared" si="4"/>
        <v>update postalCodes set RegionID=9 where code=4264;</v>
      </c>
    </row>
    <row r="287" spans="1:6" x14ac:dyDescent="0.3">
      <c r="A287">
        <v>21</v>
      </c>
      <c r="B287">
        <v>4265</v>
      </c>
      <c r="C287" t="s">
        <v>11</v>
      </c>
      <c r="D287" t="s">
        <v>6</v>
      </c>
      <c r="E287">
        <f>_xlfn.XLOOKUP(D287,Regije!B:B,Regije!A:A)</f>
        <v>9</v>
      </c>
      <c r="F287" t="str">
        <f t="shared" si="4"/>
        <v>update postalCodes set RegionID=9 where code=4265;</v>
      </c>
    </row>
    <row r="288" spans="1:6" x14ac:dyDescent="0.3">
      <c r="A288">
        <v>360</v>
      </c>
      <c r="B288">
        <v>4267</v>
      </c>
      <c r="C288" t="s">
        <v>39</v>
      </c>
      <c r="D288" t="s">
        <v>6</v>
      </c>
      <c r="E288">
        <f>_xlfn.XLOOKUP(D288,Regije!B:B,Regije!A:A)</f>
        <v>9</v>
      </c>
      <c r="F288" t="str">
        <f t="shared" si="4"/>
        <v>update postalCodes set RegionID=9 where code=4267;</v>
      </c>
    </row>
    <row r="289" spans="1:6" x14ac:dyDescent="0.3">
      <c r="A289">
        <v>131</v>
      </c>
      <c r="B289">
        <v>4270</v>
      </c>
      <c r="C289" t="s">
        <v>20</v>
      </c>
      <c r="D289" t="s">
        <v>6</v>
      </c>
      <c r="E289">
        <f>_xlfn.XLOOKUP(D289,Regije!B:B,Regije!A:A)</f>
        <v>9</v>
      </c>
      <c r="F289" t="str">
        <f t="shared" si="4"/>
        <v>update postalCodes set RegionID=9 where code=4270;</v>
      </c>
    </row>
    <row r="290" spans="1:6" x14ac:dyDescent="0.3">
      <c r="A290">
        <v>16</v>
      </c>
      <c r="B290">
        <v>4273</v>
      </c>
      <c r="C290" t="s">
        <v>8</v>
      </c>
      <c r="D290" t="s">
        <v>6</v>
      </c>
      <c r="E290">
        <f>_xlfn.XLOOKUP(D290,Regije!B:B,Regije!A:A)</f>
        <v>9</v>
      </c>
      <c r="F290" t="str">
        <f t="shared" si="4"/>
        <v>update postalCodes set RegionID=9 where code=4273;</v>
      </c>
    </row>
    <row r="291" spans="1:6" x14ac:dyDescent="0.3">
      <c r="A291">
        <v>477</v>
      </c>
      <c r="B291">
        <v>4274</v>
      </c>
      <c r="C291" t="s">
        <v>50</v>
      </c>
      <c r="D291" t="s">
        <v>6</v>
      </c>
      <c r="E291">
        <f>_xlfn.XLOOKUP(D291,Regije!B:B,Regije!A:A)</f>
        <v>9</v>
      </c>
      <c r="F291" t="str">
        <f t="shared" si="4"/>
        <v>update postalCodes set RegionID=9 where code=4274;</v>
      </c>
    </row>
    <row r="292" spans="1:6" x14ac:dyDescent="0.3">
      <c r="A292">
        <v>6</v>
      </c>
      <c r="B292">
        <v>4275</v>
      </c>
      <c r="C292" t="s">
        <v>5</v>
      </c>
      <c r="D292" t="s">
        <v>6</v>
      </c>
      <c r="E292">
        <f>_xlfn.XLOOKUP(D292,Regije!B:B,Regije!A:A)</f>
        <v>9</v>
      </c>
      <c r="F292" t="str">
        <f t="shared" si="4"/>
        <v>update postalCodes set RegionID=9 where code=4275;</v>
      </c>
    </row>
    <row r="293" spans="1:6" x14ac:dyDescent="0.3">
      <c r="A293">
        <v>119</v>
      </c>
      <c r="B293">
        <v>4276</v>
      </c>
      <c r="C293" t="s">
        <v>19</v>
      </c>
      <c r="D293" t="s">
        <v>6</v>
      </c>
      <c r="E293">
        <f>_xlfn.XLOOKUP(D293,Regije!B:B,Regije!A:A)</f>
        <v>9</v>
      </c>
      <c r="F293" t="str">
        <f t="shared" si="4"/>
        <v>update postalCodes set RegionID=9 where code=4276;</v>
      </c>
    </row>
    <row r="294" spans="1:6" x14ac:dyDescent="0.3">
      <c r="A294">
        <v>167</v>
      </c>
      <c r="B294">
        <v>4280</v>
      </c>
      <c r="C294" t="s">
        <v>24</v>
      </c>
      <c r="D294" t="s">
        <v>6</v>
      </c>
      <c r="E294">
        <f>_xlfn.XLOOKUP(D294,Regije!B:B,Regije!A:A)</f>
        <v>9</v>
      </c>
      <c r="F294" t="str">
        <f t="shared" si="4"/>
        <v>update postalCodes set RegionID=9 where code=4280;</v>
      </c>
    </row>
    <row r="295" spans="1:6" x14ac:dyDescent="0.3">
      <c r="A295">
        <v>235</v>
      </c>
      <c r="B295">
        <v>4281</v>
      </c>
      <c r="C295" t="s">
        <v>29</v>
      </c>
      <c r="D295" t="s">
        <v>6</v>
      </c>
      <c r="E295">
        <f>_xlfn.XLOOKUP(D295,Regije!B:B,Regije!A:A)</f>
        <v>9</v>
      </c>
      <c r="F295" t="str">
        <f t="shared" si="4"/>
        <v>update postalCodes set RegionID=9 where code=4281;</v>
      </c>
    </row>
    <row r="296" spans="1:6" x14ac:dyDescent="0.3">
      <c r="A296">
        <v>101</v>
      </c>
      <c r="B296">
        <v>4282</v>
      </c>
      <c r="C296" t="s">
        <v>18</v>
      </c>
      <c r="D296" t="s">
        <v>6</v>
      </c>
      <c r="E296">
        <f>_xlfn.XLOOKUP(D296,Regije!B:B,Regije!A:A)</f>
        <v>9</v>
      </c>
      <c r="F296" t="str">
        <f t="shared" si="4"/>
        <v>update postalCodes set RegionID=9 where code=4282;</v>
      </c>
    </row>
    <row r="297" spans="1:6" x14ac:dyDescent="0.3">
      <c r="A297">
        <v>320</v>
      </c>
      <c r="B297">
        <v>4283</v>
      </c>
      <c r="C297" t="s">
        <v>35</v>
      </c>
      <c r="D297" t="s">
        <v>6</v>
      </c>
      <c r="E297">
        <f>_xlfn.XLOOKUP(D297,Regije!B:B,Regije!A:A)</f>
        <v>9</v>
      </c>
      <c r="F297" t="str">
        <f t="shared" si="4"/>
        <v>update postalCodes set RegionID=9 where code=4283;</v>
      </c>
    </row>
    <row r="298" spans="1:6" x14ac:dyDescent="0.3">
      <c r="A298">
        <v>425</v>
      </c>
      <c r="B298">
        <v>4290</v>
      </c>
      <c r="C298" t="s">
        <v>42</v>
      </c>
      <c r="D298" t="s">
        <v>6</v>
      </c>
      <c r="E298">
        <f>_xlfn.XLOOKUP(D298,Regije!B:B,Regije!A:A)</f>
        <v>9</v>
      </c>
      <c r="F298" t="str">
        <f t="shared" si="4"/>
        <v>update postalCodes set RegionID=9 where code=4290;</v>
      </c>
    </row>
    <row r="299" spans="1:6" x14ac:dyDescent="0.3">
      <c r="A299">
        <v>169</v>
      </c>
      <c r="B299">
        <v>4294</v>
      </c>
      <c r="C299" t="s">
        <v>25</v>
      </c>
      <c r="D299" t="s">
        <v>6</v>
      </c>
      <c r="E299">
        <f>_xlfn.XLOOKUP(D299,Regije!B:B,Regije!A:A)</f>
        <v>9</v>
      </c>
      <c r="F299" t="str">
        <f t="shared" si="4"/>
        <v>update postalCodes set RegionID=9 where code=4294;</v>
      </c>
    </row>
    <row r="300" spans="1:6" x14ac:dyDescent="0.3">
      <c r="A300">
        <v>249</v>
      </c>
      <c r="B300">
        <v>5000</v>
      </c>
      <c r="C300" t="s">
        <v>77</v>
      </c>
      <c r="D300" t="s">
        <v>52</v>
      </c>
      <c r="E300">
        <f>_xlfn.XLOOKUP(D300,Regije!B:B,Regije!A:A)</f>
        <v>11</v>
      </c>
      <c r="F300" t="str">
        <f t="shared" si="4"/>
        <v>update postalCodes set RegionID=11 where code=5000;</v>
      </c>
    </row>
    <row r="301" spans="1:6" x14ac:dyDescent="0.3">
      <c r="A301">
        <v>250</v>
      </c>
      <c r="B301">
        <v>5001</v>
      </c>
      <c r="C301" t="s">
        <v>78</v>
      </c>
      <c r="D301" t="s">
        <v>52</v>
      </c>
      <c r="E301">
        <f>_xlfn.XLOOKUP(D301,Regije!B:B,Regije!A:A)</f>
        <v>11</v>
      </c>
      <c r="F301" t="str">
        <f t="shared" si="4"/>
        <v>update postalCodes set RegionID=11 where code=5001;</v>
      </c>
    </row>
    <row r="302" spans="1:6" x14ac:dyDescent="0.3">
      <c r="A302">
        <v>59</v>
      </c>
      <c r="B302">
        <v>5210</v>
      </c>
      <c r="C302" t="s">
        <v>61</v>
      </c>
      <c r="D302" t="s">
        <v>52</v>
      </c>
      <c r="E302">
        <f>_xlfn.XLOOKUP(D302,Regije!B:B,Regije!A:A)</f>
        <v>11</v>
      </c>
      <c r="F302" t="str">
        <f t="shared" si="4"/>
        <v>update postalCodes set RegionID=11 where code=5210;</v>
      </c>
    </row>
    <row r="303" spans="1:6" x14ac:dyDescent="0.3">
      <c r="A303">
        <v>152</v>
      </c>
      <c r="B303">
        <v>5211</v>
      </c>
      <c r="C303" t="s">
        <v>72</v>
      </c>
      <c r="D303" t="s">
        <v>52</v>
      </c>
      <c r="E303">
        <f>_xlfn.XLOOKUP(D303,Regije!B:B,Regije!A:A)</f>
        <v>11</v>
      </c>
      <c r="F303" t="str">
        <f t="shared" si="4"/>
        <v>update postalCodes set RegionID=11 where code=5211;</v>
      </c>
    </row>
    <row r="304" spans="1:6" x14ac:dyDescent="0.3">
      <c r="A304">
        <v>71</v>
      </c>
      <c r="B304">
        <v>5212</v>
      </c>
      <c r="C304" t="s">
        <v>63</v>
      </c>
      <c r="D304" t="s">
        <v>52</v>
      </c>
      <c r="E304">
        <f>_xlfn.XLOOKUP(D304,Regije!B:B,Regije!A:A)</f>
        <v>11</v>
      </c>
      <c r="F304" t="str">
        <f t="shared" si="4"/>
        <v>update postalCodes set RegionID=11 where code=5212;</v>
      </c>
    </row>
    <row r="305" spans="1:6" x14ac:dyDescent="0.3">
      <c r="A305">
        <v>141</v>
      </c>
      <c r="B305">
        <v>5213</v>
      </c>
      <c r="C305" t="s">
        <v>70</v>
      </c>
      <c r="D305" t="s">
        <v>52</v>
      </c>
      <c r="E305">
        <f>_xlfn.XLOOKUP(D305,Regije!B:B,Regije!A:A)</f>
        <v>11</v>
      </c>
      <c r="F305" t="str">
        <f t="shared" si="4"/>
        <v>update postalCodes set RegionID=11 where code=5213;</v>
      </c>
    </row>
    <row r="306" spans="1:6" x14ac:dyDescent="0.3">
      <c r="A306">
        <v>136</v>
      </c>
      <c r="B306">
        <v>5214</v>
      </c>
      <c r="C306" t="s">
        <v>69</v>
      </c>
      <c r="D306" t="s">
        <v>52</v>
      </c>
      <c r="E306">
        <f>_xlfn.XLOOKUP(D306,Regije!B:B,Regije!A:A)</f>
        <v>11</v>
      </c>
      <c r="F306" t="str">
        <f t="shared" si="4"/>
        <v>update postalCodes set RegionID=11 where code=5214;</v>
      </c>
    </row>
    <row r="307" spans="1:6" x14ac:dyDescent="0.3">
      <c r="A307">
        <v>329</v>
      </c>
      <c r="B307">
        <v>5215</v>
      </c>
      <c r="C307" t="s">
        <v>83</v>
      </c>
      <c r="D307" t="s">
        <v>52</v>
      </c>
      <c r="E307">
        <f>_xlfn.XLOOKUP(D307,Regije!B:B,Regije!A:A)</f>
        <v>11</v>
      </c>
      <c r="F307" t="str">
        <f t="shared" si="4"/>
        <v>update postalCodes set RegionID=11 where code=5215;</v>
      </c>
    </row>
    <row r="308" spans="1:6" x14ac:dyDescent="0.3">
      <c r="A308">
        <v>239</v>
      </c>
      <c r="B308">
        <v>5216</v>
      </c>
      <c r="C308" t="s">
        <v>76</v>
      </c>
      <c r="D308" t="s">
        <v>52</v>
      </c>
      <c r="E308">
        <f>_xlfn.XLOOKUP(D308,Regije!B:B,Regije!A:A)</f>
        <v>11</v>
      </c>
      <c r="F308" t="str">
        <f t="shared" si="4"/>
        <v>update postalCodes set RegionID=11 where code=5216;</v>
      </c>
    </row>
    <row r="309" spans="1:6" x14ac:dyDescent="0.3">
      <c r="A309">
        <v>415</v>
      </c>
      <c r="B309">
        <v>5220</v>
      </c>
      <c r="C309" t="s">
        <v>91</v>
      </c>
      <c r="D309" t="s">
        <v>52</v>
      </c>
      <c r="E309">
        <f>_xlfn.XLOOKUP(D309,Regije!B:B,Regije!A:A)</f>
        <v>11</v>
      </c>
      <c r="F309" t="str">
        <f t="shared" si="4"/>
        <v>update postalCodes set RegionID=11 where code=5220;</v>
      </c>
    </row>
    <row r="310" spans="1:6" x14ac:dyDescent="0.3">
      <c r="A310">
        <v>147</v>
      </c>
      <c r="B310">
        <v>5222</v>
      </c>
      <c r="C310" t="s">
        <v>71</v>
      </c>
      <c r="D310" t="s">
        <v>52</v>
      </c>
      <c r="E310">
        <f>_xlfn.XLOOKUP(D310,Regije!B:B,Regije!A:A)</f>
        <v>11</v>
      </c>
      <c r="F310" t="str">
        <f t="shared" si="4"/>
        <v>update postalCodes set RegionID=11 where code=5222;</v>
      </c>
    </row>
    <row r="311" spans="1:6" x14ac:dyDescent="0.3">
      <c r="A311">
        <v>27</v>
      </c>
      <c r="B311">
        <v>5223</v>
      </c>
      <c r="C311" t="s">
        <v>55</v>
      </c>
      <c r="D311" t="s">
        <v>52</v>
      </c>
      <c r="E311">
        <f>_xlfn.XLOOKUP(D311,Regije!B:B,Regije!A:A)</f>
        <v>11</v>
      </c>
      <c r="F311" t="str">
        <f t="shared" si="4"/>
        <v>update postalCodes set RegionID=11 where code=5223;</v>
      </c>
    </row>
    <row r="312" spans="1:6" x14ac:dyDescent="0.3">
      <c r="A312">
        <v>362</v>
      </c>
      <c r="B312">
        <v>5224</v>
      </c>
      <c r="C312" t="s">
        <v>88</v>
      </c>
      <c r="D312" t="s">
        <v>52</v>
      </c>
      <c r="E312">
        <f>_xlfn.XLOOKUP(D312,Regije!B:B,Regije!A:A)</f>
        <v>11</v>
      </c>
      <c r="F312" t="str">
        <f t="shared" si="4"/>
        <v>update postalCodes set RegionID=11 where code=5224;</v>
      </c>
    </row>
    <row r="313" spans="1:6" x14ac:dyDescent="0.3">
      <c r="A313">
        <v>24</v>
      </c>
      <c r="B313">
        <v>5230</v>
      </c>
      <c r="C313" t="s">
        <v>53</v>
      </c>
      <c r="D313" t="s">
        <v>52</v>
      </c>
      <c r="E313">
        <f>_xlfn.XLOOKUP(D313,Regije!B:B,Regije!A:A)</f>
        <v>11</v>
      </c>
      <c r="F313" t="str">
        <f t="shared" si="4"/>
        <v>update postalCodes set RegionID=11 where code=5230;</v>
      </c>
    </row>
    <row r="314" spans="1:6" x14ac:dyDescent="0.3">
      <c r="A314">
        <v>201</v>
      </c>
      <c r="B314">
        <v>5231</v>
      </c>
      <c r="C314" t="s">
        <v>74</v>
      </c>
      <c r="D314" t="s">
        <v>52</v>
      </c>
      <c r="E314">
        <f>_xlfn.XLOOKUP(D314,Regije!B:B,Regije!A:A)</f>
        <v>11</v>
      </c>
      <c r="F314" t="str">
        <f t="shared" si="4"/>
        <v>update postalCodes set RegionID=11 where code=5231;</v>
      </c>
    </row>
    <row r="315" spans="1:6" x14ac:dyDescent="0.3">
      <c r="A315">
        <v>350</v>
      </c>
      <c r="B315">
        <v>5232</v>
      </c>
      <c r="C315" t="s">
        <v>85</v>
      </c>
      <c r="D315" t="s">
        <v>52</v>
      </c>
      <c r="E315">
        <f>_xlfn.XLOOKUP(D315,Regije!B:B,Regije!A:A)</f>
        <v>11</v>
      </c>
      <c r="F315" t="str">
        <f t="shared" si="4"/>
        <v>update postalCodes set RegionID=11 where code=5232;</v>
      </c>
    </row>
    <row r="316" spans="1:6" x14ac:dyDescent="0.3">
      <c r="A316">
        <v>106</v>
      </c>
      <c r="B316">
        <v>5242</v>
      </c>
      <c r="C316" t="s">
        <v>66</v>
      </c>
      <c r="D316" t="s">
        <v>52</v>
      </c>
      <c r="E316">
        <f>_xlfn.XLOOKUP(D316,Regije!B:B,Regije!A:A)</f>
        <v>11</v>
      </c>
      <c r="F316" t="str">
        <f t="shared" si="4"/>
        <v>update postalCodes set RegionID=11 where code=5242;</v>
      </c>
    </row>
    <row r="317" spans="1:6" x14ac:dyDescent="0.3">
      <c r="A317">
        <v>274</v>
      </c>
      <c r="B317">
        <v>5243</v>
      </c>
      <c r="C317" t="s">
        <v>79</v>
      </c>
      <c r="D317" t="s">
        <v>52</v>
      </c>
      <c r="E317">
        <f>_xlfn.XLOOKUP(D317,Regije!B:B,Regije!A:A)</f>
        <v>11</v>
      </c>
      <c r="F317" t="str">
        <f t="shared" si="4"/>
        <v>update postalCodes set RegionID=11 where code=5243;</v>
      </c>
    </row>
    <row r="318" spans="1:6" x14ac:dyDescent="0.3">
      <c r="A318">
        <v>353</v>
      </c>
      <c r="B318">
        <v>5250</v>
      </c>
      <c r="C318" t="s">
        <v>86</v>
      </c>
      <c r="D318" t="s">
        <v>52</v>
      </c>
      <c r="E318">
        <f>_xlfn.XLOOKUP(D318,Regije!B:B,Regije!A:A)</f>
        <v>11</v>
      </c>
      <c r="F318" t="str">
        <f t="shared" si="4"/>
        <v>update postalCodes set RegionID=11 where code=5250;</v>
      </c>
    </row>
    <row r="319" spans="1:6" x14ac:dyDescent="0.3">
      <c r="A319">
        <v>107</v>
      </c>
      <c r="B319">
        <v>5251</v>
      </c>
      <c r="C319" t="s">
        <v>67</v>
      </c>
      <c r="D319" t="s">
        <v>52</v>
      </c>
      <c r="E319">
        <f>_xlfn.XLOOKUP(D319,Regije!B:B,Regije!A:A)</f>
        <v>11</v>
      </c>
      <c r="F319" t="str">
        <f t="shared" si="4"/>
        <v>update postalCodes set RegionID=11 where code=5251;</v>
      </c>
    </row>
    <row r="320" spans="1:6" x14ac:dyDescent="0.3">
      <c r="A320">
        <v>421</v>
      </c>
      <c r="B320">
        <v>5252</v>
      </c>
      <c r="C320" t="s">
        <v>92</v>
      </c>
      <c r="D320" t="s">
        <v>52</v>
      </c>
      <c r="E320">
        <f>_xlfn.XLOOKUP(D320,Regije!B:B,Regije!A:A)</f>
        <v>11</v>
      </c>
      <c r="F320" t="str">
        <f t="shared" si="4"/>
        <v>update postalCodes set RegionID=11 where code=5252;</v>
      </c>
    </row>
    <row r="321" spans="1:6" x14ac:dyDescent="0.3">
      <c r="A321">
        <v>51</v>
      </c>
      <c r="B321">
        <v>5253</v>
      </c>
      <c r="C321" t="s">
        <v>58</v>
      </c>
      <c r="D321" t="s">
        <v>52</v>
      </c>
      <c r="E321">
        <f>_xlfn.XLOOKUP(D321,Regije!B:B,Regije!A:A)</f>
        <v>11</v>
      </c>
      <c r="F321" t="str">
        <f t="shared" si="4"/>
        <v>update postalCodes set RegionID=11 where code=5253;</v>
      </c>
    </row>
    <row r="322" spans="1:6" x14ac:dyDescent="0.3">
      <c r="A322">
        <v>382</v>
      </c>
      <c r="B322">
        <v>5261</v>
      </c>
      <c r="C322" t="s">
        <v>89</v>
      </c>
      <c r="D322" t="s">
        <v>52</v>
      </c>
      <c r="E322">
        <f>_xlfn.XLOOKUP(D322,Regije!B:B,Regije!A:A)</f>
        <v>11</v>
      </c>
      <c r="F322" t="str">
        <f t="shared" si="4"/>
        <v>update postalCodes set RegionID=11 where code=5261;</v>
      </c>
    </row>
    <row r="323" spans="1:6" x14ac:dyDescent="0.3">
      <c r="A323">
        <v>56</v>
      </c>
      <c r="B323">
        <v>5262</v>
      </c>
      <c r="C323" t="s">
        <v>60</v>
      </c>
      <c r="D323" t="s">
        <v>52</v>
      </c>
      <c r="E323">
        <f>_xlfn.XLOOKUP(D323,Regije!B:B,Regije!A:A)</f>
        <v>11</v>
      </c>
      <c r="F323" t="str">
        <f t="shared" ref="F323:F386" si="5">"update postalCodes set RegionID="&amp;E323&amp;" where code="&amp;B323&amp;";"</f>
        <v>update postalCodes set RegionID=11 where code=5262;</v>
      </c>
    </row>
    <row r="324" spans="1:6" x14ac:dyDescent="0.3">
      <c r="A324">
        <v>66</v>
      </c>
      <c r="B324">
        <v>5263</v>
      </c>
      <c r="C324" t="s">
        <v>62</v>
      </c>
      <c r="D324" t="s">
        <v>52</v>
      </c>
      <c r="E324">
        <f>_xlfn.XLOOKUP(D324,Regije!B:B,Regije!A:A)</f>
        <v>11</v>
      </c>
      <c r="F324" t="str">
        <f t="shared" si="5"/>
        <v>update postalCodes set RegionID=11 where code=5263;</v>
      </c>
    </row>
    <row r="325" spans="1:6" x14ac:dyDescent="0.3">
      <c r="A325">
        <v>2</v>
      </c>
      <c r="B325">
        <v>5270</v>
      </c>
      <c r="C325" t="s">
        <v>51</v>
      </c>
      <c r="D325" t="s">
        <v>52</v>
      </c>
      <c r="E325">
        <f>_xlfn.XLOOKUP(D325,Regije!B:B,Regije!A:A)</f>
        <v>11</v>
      </c>
      <c r="F325" t="str">
        <f t="shared" si="5"/>
        <v>update postalCodes set RegionID=11 where code=5270;</v>
      </c>
    </row>
    <row r="326" spans="1:6" x14ac:dyDescent="0.3">
      <c r="A326">
        <v>442</v>
      </c>
      <c r="B326">
        <v>5271</v>
      </c>
      <c r="C326" t="s">
        <v>93</v>
      </c>
      <c r="D326" t="s">
        <v>52</v>
      </c>
      <c r="E326">
        <f>_xlfn.XLOOKUP(D326,Regije!B:B,Regije!A:A)</f>
        <v>11</v>
      </c>
      <c r="F326" t="str">
        <f t="shared" si="5"/>
        <v>update postalCodes set RegionID=11 where code=5271;</v>
      </c>
    </row>
    <row r="327" spans="1:6" x14ac:dyDescent="0.3">
      <c r="A327">
        <v>282</v>
      </c>
      <c r="B327">
        <v>5272</v>
      </c>
      <c r="C327" t="s">
        <v>80</v>
      </c>
      <c r="D327" t="s">
        <v>52</v>
      </c>
      <c r="E327">
        <f>_xlfn.XLOOKUP(D327,Regije!B:B,Regije!A:A)</f>
        <v>11</v>
      </c>
      <c r="F327" t="str">
        <f t="shared" si="5"/>
        <v>update postalCodes set RegionID=11 where code=5272;</v>
      </c>
    </row>
    <row r="328" spans="1:6" x14ac:dyDescent="0.3">
      <c r="A328">
        <v>48</v>
      </c>
      <c r="B328">
        <v>5273</v>
      </c>
      <c r="C328" t="s">
        <v>57</v>
      </c>
      <c r="D328" t="s">
        <v>52</v>
      </c>
      <c r="E328">
        <f>_xlfn.XLOOKUP(D328,Regije!B:B,Regije!A:A)</f>
        <v>11</v>
      </c>
      <c r="F328" t="str">
        <f t="shared" si="5"/>
        <v>update postalCodes set RegionID=11 where code=5273;</v>
      </c>
    </row>
    <row r="329" spans="1:6" x14ac:dyDescent="0.3">
      <c r="A329">
        <v>55</v>
      </c>
      <c r="B329">
        <v>5274</v>
      </c>
      <c r="C329" t="s">
        <v>59</v>
      </c>
      <c r="D329" t="s">
        <v>52</v>
      </c>
      <c r="E329">
        <f>_xlfn.XLOOKUP(D329,Regije!B:B,Regije!A:A)</f>
        <v>11</v>
      </c>
      <c r="F329" t="str">
        <f t="shared" si="5"/>
        <v>update postalCodes set RegionID=11 where code=5274;</v>
      </c>
    </row>
    <row r="330" spans="1:6" x14ac:dyDescent="0.3">
      <c r="A330">
        <v>93</v>
      </c>
      <c r="B330">
        <v>5275</v>
      </c>
      <c r="C330" t="s">
        <v>65</v>
      </c>
      <c r="D330" t="s">
        <v>52</v>
      </c>
      <c r="E330">
        <f>_xlfn.XLOOKUP(D330,Regije!B:B,Regije!A:A)</f>
        <v>11</v>
      </c>
      <c r="F330" t="str">
        <f t="shared" si="5"/>
        <v>update postalCodes set RegionID=11 where code=5275;</v>
      </c>
    </row>
    <row r="331" spans="1:6" x14ac:dyDescent="0.3">
      <c r="A331">
        <v>120</v>
      </c>
      <c r="B331">
        <v>5280</v>
      </c>
      <c r="C331" t="s">
        <v>68</v>
      </c>
      <c r="D331" t="s">
        <v>52</v>
      </c>
      <c r="E331">
        <f>_xlfn.XLOOKUP(D331,Regije!B:B,Regije!A:A)</f>
        <v>11</v>
      </c>
      <c r="F331" t="str">
        <f t="shared" si="5"/>
        <v>update postalCodes set RegionID=11 where code=5280;</v>
      </c>
    </row>
    <row r="332" spans="1:6" x14ac:dyDescent="0.3">
      <c r="A332">
        <v>356</v>
      </c>
      <c r="B332">
        <v>5281</v>
      </c>
      <c r="C332" t="s">
        <v>87</v>
      </c>
      <c r="D332" t="s">
        <v>52</v>
      </c>
      <c r="E332">
        <f>_xlfn.XLOOKUP(D332,Regije!B:B,Regije!A:A)</f>
        <v>11</v>
      </c>
      <c r="F332" t="str">
        <f t="shared" si="5"/>
        <v>update postalCodes set RegionID=11 where code=5281;</v>
      </c>
    </row>
    <row r="333" spans="1:6" x14ac:dyDescent="0.3">
      <c r="A333">
        <v>43</v>
      </c>
      <c r="B333">
        <v>5282</v>
      </c>
      <c r="C333" t="s">
        <v>56</v>
      </c>
      <c r="D333" t="s">
        <v>52</v>
      </c>
      <c r="E333">
        <f>_xlfn.XLOOKUP(D333,Regije!B:B,Regije!A:A)</f>
        <v>11</v>
      </c>
      <c r="F333" t="str">
        <f t="shared" si="5"/>
        <v>update postalCodes set RegionID=11 where code=5282;</v>
      </c>
    </row>
    <row r="334" spans="1:6" x14ac:dyDescent="0.3">
      <c r="A334">
        <v>345</v>
      </c>
      <c r="B334">
        <v>5283</v>
      </c>
      <c r="C334" t="s">
        <v>84</v>
      </c>
      <c r="D334" t="s">
        <v>52</v>
      </c>
      <c r="E334">
        <f>_xlfn.XLOOKUP(D334,Regije!B:B,Regije!A:A)</f>
        <v>11</v>
      </c>
      <c r="F334" t="str">
        <f t="shared" si="5"/>
        <v>update postalCodes set RegionID=11 where code=5283;</v>
      </c>
    </row>
    <row r="335" spans="1:6" x14ac:dyDescent="0.3">
      <c r="A335">
        <v>383</v>
      </c>
      <c r="B335">
        <v>5290</v>
      </c>
      <c r="C335" t="s">
        <v>90</v>
      </c>
      <c r="D335" t="s">
        <v>52</v>
      </c>
      <c r="E335">
        <f>_xlfn.XLOOKUP(D335,Regije!B:B,Regije!A:A)</f>
        <v>11</v>
      </c>
      <c r="F335" t="str">
        <f t="shared" si="5"/>
        <v>update postalCodes set RegionID=11 where code=5290;</v>
      </c>
    </row>
    <row r="336" spans="1:6" x14ac:dyDescent="0.3">
      <c r="A336">
        <v>231</v>
      </c>
      <c r="B336">
        <v>5291</v>
      </c>
      <c r="C336" t="s">
        <v>75</v>
      </c>
      <c r="D336" t="s">
        <v>52</v>
      </c>
      <c r="E336">
        <f>_xlfn.XLOOKUP(D336,Regije!B:B,Regije!A:A)</f>
        <v>11</v>
      </c>
      <c r="F336" t="str">
        <f t="shared" si="5"/>
        <v>update postalCodes set RegionID=11 where code=5291;</v>
      </c>
    </row>
    <row r="337" spans="1:6" x14ac:dyDescent="0.3">
      <c r="A337">
        <v>324</v>
      </c>
      <c r="B337">
        <v>5292</v>
      </c>
      <c r="C337" t="s">
        <v>82</v>
      </c>
      <c r="D337" t="s">
        <v>52</v>
      </c>
      <c r="E337">
        <f>_xlfn.XLOOKUP(D337,Regije!B:B,Regije!A:A)</f>
        <v>11</v>
      </c>
      <c r="F337" t="str">
        <f t="shared" si="5"/>
        <v>update postalCodes set RegionID=11 where code=5292;</v>
      </c>
    </row>
    <row r="338" spans="1:6" x14ac:dyDescent="0.3">
      <c r="A338">
        <v>449</v>
      </c>
      <c r="B338">
        <v>5293</v>
      </c>
      <c r="C338" t="s">
        <v>94</v>
      </c>
      <c r="D338" t="s">
        <v>52</v>
      </c>
      <c r="E338">
        <f>_xlfn.XLOOKUP(D338,Regije!B:B,Regije!A:A)</f>
        <v>11</v>
      </c>
      <c r="F338" t="str">
        <f t="shared" si="5"/>
        <v>update postalCodes set RegionID=11 where code=5293;</v>
      </c>
    </row>
    <row r="339" spans="1:6" x14ac:dyDescent="0.3">
      <c r="A339">
        <v>79</v>
      </c>
      <c r="B339">
        <v>5294</v>
      </c>
      <c r="C339" t="s">
        <v>64</v>
      </c>
      <c r="D339" t="s">
        <v>52</v>
      </c>
      <c r="E339">
        <f>_xlfn.XLOOKUP(D339,Regije!B:B,Regije!A:A)</f>
        <v>11</v>
      </c>
      <c r="F339" t="str">
        <f t="shared" si="5"/>
        <v>update postalCodes set RegionID=11 where code=5294;</v>
      </c>
    </row>
    <row r="340" spans="1:6" x14ac:dyDescent="0.3">
      <c r="A340">
        <v>25</v>
      </c>
      <c r="B340">
        <v>5295</v>
      </c>
      <c r="C340" t="s">
        <v>54</v>
      </c>
      <c r="D340" t="s">
        <v>52</v>
      </c>
      <c r="E340">
        <f>_xlfn.XLOOKUP(D340,Regije!B:B,Regije!A:A)</f>
        <v>11</v>
      </c>
      <c r="F340" t="str">
        <f t="shared" si="5"/>
        <v>update postalCodes set RegionID=11 where code=5295;</v>
      </c>
    </row>
    <row r="341" spans="1:6" x14ac:dyDescent="0.3">
      <c r="A341">
        <v>158</v>
      </c>
      <c r="B341">
        <v>5296</v>
      </c>
      <c r="C341" t="s">
        <v>73</v>
      </c>
      <c r="D341" t="s">
        <v>52</v>
      </c>
      <c r="E341">
        <f>_xlfn.XLOOKUP(D341,Regije!B:B,Regije!A:A)</f>
        <v>11</v>
      </c>
      <c r="F341" t="str">
        <f t="shared" si="5"/>
        <v>update postalCodes set RegionID=11 where code=5296;</v>
      </c>
    </row>
    <row r="342" spans="1:6" x14ac:dyDescent="0.3">
      <c r="A342">
        <v>308</v>
      </c>
      <c r="B342">
        <v>5297</v>
      </c>
      <c r="C342" t="s">
        <v>81</v>
      </c>
      <c r="D342" t="s">
        <v>52</v>
      </c>
      <c r="E342">
        <f>_xlfn.XLOOKUP(D342,Regije!B:B,Regije!A:A)</f>
        <v>11</v>
      </c>
      <c r="F342" t="str">
        <f t="shared" si="5"/>
        <v>update postalCodes set RegionID=11 where code=5297;</v>
      </c>
    </row>
    <row r="343" spans="1:6" x14ac:dyDescent="0.3">
      <c r="A343">
        <v>155</v>
      </c>
      <c r="B343">
        <v>6000</v>
      </c>
      <c r="C343" t="s">
        <v>171</v>
      </c>
      <c r="D343" t="s">
        <v>163</v>
      </c>
      <c r="E343">
        <f>_xlfn.XLOOKUP(D343,Regije!B:B,Regije!A:A)</f>
        <v>12</v>
      </c>
      <c r="F343" t="str">
        <f t="shared" si="5"/>
        <v>update postalCodes set RegionID=12 where code=6000;</v>
      </c>
    </row>
    <row r="344" spans="1:6" x14ac:dyDescent="0.3">
      <c r="A344">
        <v>156</v>
      </c>
      <c r="B344">
        <v>6001</v>
      </c>
      <c r="C344" t="s">
        <v>172</v>
      </c>
      <c r="D344" t="s">
        <v>163</v>
      </c>
      <c r="E344">
        <f>_xlfn.XLOOKUP(D344,Regije!B:B,Regije!A:A)</f>
        <v>12</v>
      </c>
      <c r="F344" t="str">
        <f t="shared" si="5"/>
        <v>update postalCodes set RegionID=12 where code=6001;</v>
      </c>
    </row>
    <row r="345" spans="1:6" x14ac:dyDescent="0.3">
      <c r="A345">
        <v>343</v>
      </c>
      <c r="B345">
        <v>6210</v>
      </c>
      <c r="C345" t="s">
        <v>185</v>
      </c>
      <c r="D345" t="s">
        <v>163</v>
      </c>
      <c r="E345">
        <f>_xlfn.XLOOKUP(D345,Regije!B:B,Regije!A:A)</f>
        <v>12</v>
      </c>
      <c r="F345" t="str">
        <f t="shared" si="5"/>
        <v>update postalCodes set RegionID=12 where code=6210;</v>
      </c>
    </row>
    <row r="346" spans="1:6" x14ac:dyDescent="0.3">
      <c r="A346">
        <v>61</v>
      </c>
      <c r="B346">
        <v>6215</v>
      </c>
      <c r="C346" t="s">
        <v>166</v>
      </c>
      <c r="D346" t="s">
        <v>163</v>
      </c>
      <c r="E346">
        <f>_xlfn.XLOOKUP(D346,Regije!B:B,Regije!A:A)</f>
        <v>12</v>
      </c>
      <c r="F346" t="str">
        <f t="shared" si="5"/>
        <v>update postalCodes set RegionID=12 where code=6215;</v>
      </c>
    </row>
    <row r="347" spans="1:6" x14ac:dyDescent="0.3">
      <c r="A347">
        <v>277</v>
      </c>
      <c r="B347">
        <v>6216</v>
      </c>
      <c r="C347" t="s">
        <v>180</v>
      </c>
      <c r="D347" t="s">
        <v>163</v>
      </c>
      <c r="E347">
        <f>_xlfn.XLOOKUP(D347,Regije!B:B,Regije!A:A)</f>
        <v>12</v>
      </c>
      <c r="F347" t="str">
        <f t="shared" si="5"/>
        <v>update postalCodes set RegionID=12 where code=6216;</v>
      </c>
    </row>
    <row r="348" spans="1:6" x14ac:dyDescent="0.3">
      <c r="A348">
        <v>452</v>
      </c>
      <c r="B348">
        <v>6217</v>
      </c>
      <c r="C348" t="s">
        <v>189</v>
      </c>
      <c r="D348" t="s">
        <v>163</v>
      </c>
      <c r="E348">
        <f>_xlfn.XLOOKUP(D348,Regije!B:B,Regije!A:A)</f>
        <v>12</v>
      </c>
      <c r="F348" t="str">
        <f t="shared" si="5"/>
        <v>update postalCodes set RegionID=12 where code=6217;</v>
      </c>
    </row>
    <row r="349" spans="1:6" x14ac:dyDescent="0.3">
      <c r="A349">
        <v>206</v>
      </c>
      <c r="B349">
        <v>6219</v>
      </c>
      <c r="C349" t="s">
        <v>174</v>
      </c>
      <c r="D349" t="s">
        <v>163</v>
      </c>
      <c r="E349">
        <f>_xlfn.XLOOKUP(D349,Regije!B:B,Regije!A:A)</f>
        <v>12</v>
      </c>
      <c r="F349" t="str">
        <f t="shared" si="5"/>
        <v>update postalCodes set RegionID=12 where code=6219;</v>
      </c>
    </row>
    <row r="350" spans="1:6" x14ac:dyDescent="0.3">
      <c r="A350">
        <v>85</v>
      </c>
      <c r="B350">
        <v>6221</v>
      </c>
      <c r="C350" t="s">
        <v>167</v>
      </c>
      <c r="D350" t="s">
        <v>163</v>
      </c>
      <c r="E350">
        <f>_xlfn.XLOOKUP(D350,Regije!B:B,Regije!A:A)</f>
        <v>12</v>
      </c>
      <c r="F350" t="str">
        <f t="shared" si="5"/>
        <v>update postalCodes set RegionID=12 where code=6221;</v>
      </c>
    </row>
    <row r="351" spans="1:6" x14ac:dyDescent="0.3">
      <c r="A351">
        <v>410</v>
      </c>
      <c r="B351">
        <v>6222</v>
      </c>
      <c r="C351" t="s">
        <v>188</v>
      </c>
      <c r="D351" t="s">
        <v>163</v>
      </c>
      <c r="E351">
        <f>_xlfn.XLOOKUP(D351,Regije!B:B,Regije!A:A)</f>
        <v>12</v>
      </c>
      <c r="F351" t="str">
        <f t="shared" si="5"/>
        <v>update postalCodes set RegionID=12 where code=6222;</v>
      </c>
    </row>
    <row r="352" spans="1:6" x14ac:dyDescent="0.3">
      <c r="A352">
        <v>153</v>
      </c>
      <c r="B352">
        <v>6223</v>
      </c>
      <c r="C352" t="s">
        <v>170</v>
      </c>
      <c r="D352" t="s">
        <v>163</v>
      </c>
      <c r="E352">
        <f>_xlfn.XLOOKUP(D352,Regije!B:B,Regije!A:A)</f>
        <v>12</v>
      </c>
      <c r="F352" t="str">
        <f t="shared" si="5"/>
        <v>update postalCodes set RegionID=12 where code=6223;</v>
      </c>
    </row>
    <row r="353" spans="1:6" x14ac:dyDescent="0.3">
      <c r="A353">
        <v>341</v>
      </c>
      <c r="B353">
        <v>6224</v>
      </c>
      <c r="C353" t="s">
        <v>184</v>
      </c>
      <c r="D353" t="s">
        <v>163</v>
      </c>
      <c r="E353">
        <f>_xlfn.XLOOKUP(D353,Regije!B:B,Regije!A:A)</f>
        <v>12</v>
      </c>
      <c r="F353" t="str">
        <f t="shared" si="5"/>
        <v>update postalCodes set RegionID=12 where code=6224;</v>
      </c>
    </row>
    <row r="354" spans="1:6" x14ac:dyDescent="0.3">
      <c r="A354">
        <v>118</v>
      </c>
      <c r="B354">
        <v>6225</v>
      </c>
      <c r="C354" t="s">
        <v>405</v>
      </c>
      <c r="D354" t="s">
        <v>402</v>
      </c>
      <c r="E354">
        <f>_xlfn.XLOOKUP(D354,Regije!B:B,Regije!A:A)</f>
        <v>10</v>
      </c>
      <c r="F354" t="str">
        <f t="shared" si="5"/>
        <v>update postalCodes set RegionID=10 where code=6225;</v>
      </c>
    </row>
    <row r="355" spans="1:6" x14ac:dyDescent="0.3">
      <c r="A355">
        <v>296</v>
      </c>
      <c r="B355">
        <v>6230</v>
      </c>
      <c r="C355" t="s">
        <v>414</v>
      </c>
      <c r="D355" t="s">
        <v>402</v>
      </c>
      <c r="E355">
        <f>_xlfn.XLOOKUP(D355,Regije!B:B,Regije!A:A)</f>
        <v>10</v>
      </c>
      <c r="F355" t="str">
        <f t="shared" si="5"/>
        <v>update postalCodes set RegionID=10 where code=6230;</v>
      </c>
    </row>
    <row r="356" spans="1:6" x14ac:dyDescent="0.3">
      <c r="A356">
        <v>270</v>
      </c>
      <c r="B356">
        <v>6232</v>
      </c>
      <c r="C356" t="s">
        <v>413</v>
      </c>
      <c r="D356" t="s">
        <v>402</v>
      </c>
      <c r="E356">
        <f>_xlfn.XLOOKUP(D356,Regije!B:B,Regije!A:A)</f>
        <v>10</v>
      </c>
      <c r="F356" t="str">
        <f t="shared" si="5"/>
        <v>update postalCodes set RegionID=10 where code=6232;</v>
      </c>
    </row>
    <row r="357" spans="1:6" x14ac:dyDescent="0.3">
      <c r="A357">
        <v>163</v>
      </c>
      <c r="B357">
        <v>6240</v>
      </c>
      <c r="C357" t="s">
        <v>173</v>
      </c>
      <c r="D357" t="s">
        <v>163</v>
      </c>
      <c r="E357">
        <f>_xlfn.XLOOKUP(D357,Regije!B:B,Regije!A:A)</f>
        <v>12</v>
      </c>
      <c r="F357" t="str">
        <f t="shared" si="5"/>
        <v>update postalCodes set RegionID=12 where code=6240;</v>
      </c>
    </row>
    <row r="358" spans="1:6" x14ac:dyDescent="0.3">
      <c r="A358">
        <v>223</v>
      </c>
      <c r="B358">
        <v>6242</v>
      </c>
      <c r="C358" t="s">
        <v>176</v>
      </c>
      <c r="D358" t="s">
        <v>163</v>
      </c>
      <c r="E358">
        <f>_xlfn.XLOOKUP(D358,Regije!B:B,Regije!A:A)</f>
        <v>12</v>
      </c>
      <c r="F358" t="str">
        <f t="shared" si="5"/>
        <v>update postalCodes set RegionID=12 where code=6242;</v>
      </c>
    </row>
    <row r="359" spans="1:6" x14ac:dyDescent="0.3">
      <c r="A359">
        <v>254</v>
      </c>
      <c r="B359">
        <v>6243</v>
      </c>
      <c r="C359" t="s">
        <v>177</v>
      </c>
      <c r="D359" t="s">
        <v>163</v>
      </c>
      <c r="E359">
        <f>_xlfn.XLOOKUP(D359,Regije!B:B,Regije!A:A)</f>
        <v>12</v>
      </c>
      <c r="F359" t="str">
        <f t="shared" si="5"/>
        <v>update postalCodes set RegionID=12 where code=6243;</v>
      </c>
    </row>
    <row r="360" spans="1:6" x14ac:dyDescent="0.3">
      <c r="A360">
        <v>279</v>
      </c>
      <c r="B360">
        <v>6244</v>
      </c>
      <c r="C360" t="s">
        <v>181</v>
      </c>
      <c r="D360" t="s">
        <v>163</v>
      </c>
      <c r="E360">
        <f>_xlfn.XLOOKUP(D360,Regije!B:B,Regije!A:A)</f>
        <v>12</v>
      </c>
      <c r="F360" t="str">
        <f t="shared" si="5"/>
        <v>update postalCodes set RegionID=12 where code=6244;</v>
      </c>
    </row>
    <row r="361" spans="1:6" x14ac:dyDescent="0.3">
      <c r="A361">
        <v>122</v>
      </c>
      <c r="B361">
        <v>6250</v>
      </c>
      <c r="C361" t="s">
        <v>406</v>
      </c>
      <c r="D361" t="s">
        <v>402</v>
      </c>
      <c r="E361">
        <f>_xlfn.XLOOKUP(D361,Regije!B:B,Regije!A:A)</f>
        <v>10</v>
      </c>
      <c r="F361" t="str">
        <f t="shared" si="5"/>
        <v>update postalCodes set RegionID=10 where code=6250;</v>
      </c>
    </row>
    <row r="362" spans="1:6" x14ac:dyDescent="0.3">
      <c r="A362">
        <v>123</v>
      </c>
      <c r="B362">
        <v>6251</v>
      </c>
      <c r="C362" t="s">
        <v>407</v>
      </c>
      <c r="D362" t="s">
        <v>402</v>
      </c>
      <c r="E362">
        <f>_xlfn.XLOOKUP(D362,Regije!B:B,Regije!A:A)</f>
        <v>10</v>
      </c>
      <c r="F362" t="str">
        <f t="shared" si="5"/>
        <v>update postalCodes set RegionID=10 where code=6251;</v>
      </c>
    </row>
    <row r="363" spans="1:6" x14ac:dyDescent="0.3">
      <c r="A363">
        <v>146</v>
      </c>
      <c r="B363">
        <v>6253</v>
      </c>
      <c r="C363" t="s">
        <v>409</v>
      </c>
      <c r="D363" t="s">
        <v>402</v>
      </c>
      <c r="E363">
        <f>_xlfn.XLOOKUP(D363,Regije!B:B,Regije!A:A)</f>
        <v>10</v>
      </c>
      <c r="F363" t="str">
        <f t="shared" si="5"/>
        <v>update postalCodes set RegionID=10 where code=6253;</v>
      </c>
    </row>
    <row r="364" spans="1:6" x14ac:dyDescent="0.3">
      <c r="A364">
        <v>130</v>
      </c>
      <c r="B364">
        <v>6254</v>
      </c>
      <c r="C364" t="s">
        <v>408</v>
      </c>
      <c r="D364" t="s">
        <v>402</v>
      </c>
      <c r="E364">
        <f>_xlfn.XLOOKUP(D364,Regije!B:B,Regije!A:A)</f>
        <v>10</v>
      </c>
      <c r="F364" t="str">
        <f t="shared" si="5"/>
        <v>update postalCodes set RegionID=10 where code=6254;</v>
      </c>
    </row>
    <row r="365" spans="1:6" x14ac:dyDescent="0.3">
      <c r="A365">
        <v>300</v>
      </c>
      <c r="B365">
        <v>6255</v>
      </c>
      <c r="C365" t="s">
        <v>415</v>
      </c>
      <c r="D365" t="s">
        <v>402</v>
      </c>
      <c r="E365">
        <f>_xlfn.XLOOKUP(D365,Regije!B:B,Regije!A:A)</f>
        <v>10</v>
      </c>
      <c r="F365" t="str">
        <f t="shared" si="5"/>
        <v>update postalCodes set RegionID=10 where code=6255;</v>
      </c>
    </row>
    <row r="366" spans="1:6" x14ac:dyDescent="0.3">
      <c r="A366">
        <v>161</v>
      </c>
      <c r="B366">
        <v>6256</v>
      </c>
      <c r="C366" t="s">
        <v>410</v>
      </c>
      <c r="D366" t="s">
        <v>402</v>
      </c>
      <c r="E366">
        <f>_xlfn.XLOOKUP(D366,Regije!B:B,Regije!A:A)</f>
        <v>10</v>
      </c>
      <c r="F366" t="str">
        <f t="shared" si="5"/>
        <v>update postalCodes set RegionID=10 where code=6256;</v>
      </c>
    </row>
    <row r="367" spans="1:6" x14ac:dyDescent="0.3">
      <c r="A367">
        <v>269</v>
      </c>
      <c r="B367">
        <v>6257</v>
      </c>
      <c r="C367" t="s">
        <v>412</v>
      </c>
      <c r="D367" t="s">
        <v>402</v>
      </c>
      <c r="E367">
        <f>_xlfn.XLOOKUP(D367,Regije!B:B,Regije!A:A)</f>
        <v>10</v>
      </c>
      <c r="F367" t="str">
        <f t="shared" si="5"/>
        <v>update postalCodes set RegionID=10 where code=6257;</v>
      </c>
    </row>
    <row r="368" spans="1:6" x14ac:dyDescent="0.3">
      <c r="A368">
        <v>302</v>
      </c>
      <c r="B368">
        <v>6258</v>
      </c>
      <c r="C368" t="s">
        <v>416</v>
      </c>
      <c r="D368" t="s">
        <v>402</v>
      </c>
      <c r="E368">
        <f>_xlfn.XLOOKUP(D368,Regije!B:B,Regije!A:A)</f>
        <v>10</v>
      </c>
      <c r="F368" t="str">
        <f t="shared" si="5"/>
        <v>update postalCodes set RegionID=10 where code=6258;</v>
      </c>
    </row>
    <row r="369" spans="1:6" x14ac:dyDescent="0.3">
      <c r="A369">
        <v>58</v>
      </c>
      <c r="B369">
        <v>6271</v>
      </c>
      <c r="C369" t="s">
        <v>165</v>
      </c>
      <c r="D369" t="s">
        <v>163</v>
      </c>
      <c r="E369">
        <f>_xlfn.XLOOKUP(D369,Regije!B:B,Regije!A:A)</f>
        <v>12</v>
      </c>
      <c r="F369" t="str">
        <f t="shared" si="5"/>
        <v>update postalCodes set RegionID=12 where code=6271;</v>
      </c>
    </row>
    <row r="370" spans="1:6" x14ac:dyDescent="0.3">
      <c r="A370">
        <v>102</v>
      </c>
      <c r="B370">
        <v>6272</v>
      </c>
      <c r="C370" t="s">
        <v>168</v>
      </c>
      <c r="D370" t="s">
        <v>163</v>
      </c>
      <c r="E370">
        <f>_xlfn.XLOOKUP(D370,Regije!B:B,Regije!A:A)</f>
        <v>12</v>
      </c>
      <c r="F370" t="str">
        <f t="shared" si="5"/>
        <v>update postalCodes set RegionID=12 where code=6272;</v>
      </c>
    </row>
    <row r="371" spans="1:6" x14ac:dyDescent="0.3">
      <c r="A371">
        <v>217</v>
      </c>
      <c r="B371">
        <v>6273</v>
      </c>
      <c r="C371" t="s">
        <v>175</v>
      </c>
      <c r="D371" t="s">
        <v>163</v>
      </c>
      <c r="E371">
        <f>_xlfn.XLOOKUP(D371,Regije!B:B,Regije!A:A)</f>
        <v>12</v>
      </c>
      <c r="F371" t="str">
        <f t="shared" si="5"/>
        <v>update postalCodes set RegionID=12 where code=6273;</v>
      </c>
    </row>
    <row r="372" spans="1:6" x14ac:dyDescent="0.3">
      <c r="A372">
        <v>399</v>
      </c>
      <c r="B372">
        <v>6274</v>
      </c>
      <c r="C372" t="s">
        <v>187</v>
      </c>
      <c r="D372" t="s">
        <v>163</v>
      </c>
      <c r="E372">
        <f>_xlfn.XLOOKUP(D372,Regije!B:B,Regije!A:A)</f>
        <v>12</v>
      </c>
      <c r="F372" t="str">
        <f t="shared" si="5"/>
        <v>update postalCodes set RegionID=12 where code=6274;</v>
      </c>
    </row>
    <row r="373" spans="1:6" x14ac:dyDescent="0.3">
      <c r="A373">
        <v>54</v>
      </c>
      <c r="B373">
        <v>6275</v>
      </c>
      <c r="C373" t="s">
        <v>164</v>
      </c>
      <c r="D373" t="s">
        <v>163</v>
      </c>
      <c r="E373">
        <f>_xlfn.XLOOKUP(D373,Regije!B:B,Regije!A:A)</f>
        <v>12</v>
      </c>
      <c r="F373" t="str">
        <f t="shared" si="5"/>
        <v>update postalCodes set RegionID=12 where code=6275;</v>
      </c>
    </row>
    <row r="374" spans="1:6" x14ac:dyDescent="0.3">
      <c r="A374">
        <v>272</v>
      </c>
      <c r="B374">
        <v>6276</v>
      </c>
      <c r="C374" t="s">
        <v>179</v>
      </c>
      <c r="D374" t="s">
        <v>163</v>
      </c>
      <c r="E374">
        <f>_xlfn.XLOOKUP(D374,Regije!B:B,Regije!A:A)</f>
        <v>12</v>
      </c>
      <c r="F374" t="str">
        <f t="shared" si="5"/>
        <v>update postalCodes set RegionID=12 where code=6276;</v>
      </c>
    </row>
    <row r="375" spans="1:6" x14ac:dyDescent="0.3">
      <c r="A375">
        <v>3</v>
      </c>
      <c r="B375">
        <v>6280</v>
      </c>
      <c r="C375" t="s">
        <v>162</v>
      </c>
      <c r="D375" t="s">
        <v>163</v>
      </c>
      <c r="E375">
        <f>_xlfn.XLOOKUP(D375,Regije!B:B,Regije!A:A)</f>
        <v>12</v>
      </c>
      <c r="F375" t="str">
        <f t="shared" si="5"/>
        <v>update postalCodes set RegionID=12 where code=6280;</v>
      </c>
    </row>
    <row r="376" spans="1:6" x14ac:dyDescent="0.3">
      <c r="A376">
        <v>395</v>
      </c>
      <c r="B376">
        <v>6281</v>
      </c>
      <c r="C376" t="s">
        <v>186</v>
      </c>
      <c r="D376" t="s">
        <v>163</v>
      </c>
      <c r="E376">
        <f>_xlfn.XLOOKUP(D376,Regije!B:B,Regije!A:A)</f>
        <v>12</v>
      </c>
      <c r="F376" t="str">
        <f t="shared" si="5"/>
        <v>update postalCodes set RegionID=12 where code=6281;</v>
      </c>
    </row>
    <row r="377" spans="1:6" x14ac:dyDescent="0.3">
      <c r="A377">
        <v>127</v>
      </c>
      <c r="B377">
        <v>6310</v>
      </c>
      <c r="C377" t="s">
        <v>169</v>
      </c>
      <c r="D377" t="s">
        <v>163</v>
      </c>
      <c r="E377">
        <f>_xlfn.XLOOKUP(D377,Regije!B:B,Regije!A:A)</f>
        <v>12</v>
      </c>
      <c r="F377" t="str">
        <f t="shared" si="5"/>
        <v>update postalCodes set RegionID=12 where code=6310;</v>
      </c>
    </row>
    <row r="378" spans="1:6" x14ac:dyDescent="0.3">
      <c r="A378">
        <v>295</v>
      </c>
      <c r="B378">
        <v>6320</v>
      </c>
      <c r="C378" t="s">
        <v>182</v>
      </c>
      <c r="D378" t="s">
        <v>163</v>
      </c>
      <c r="E378">
        <f>_xlfn.XLOOKUP(D378,Regije!B:B,Regije!A:A)</f>
        <v>12</v>
      </c>
      <c r="F378" t="str">
        <f t="shared" si="5"/>
        <v>update postalCodes set RegionID=12 where code=6320;</v>
      </c>
    </row>
    <row r="379" spans="1:6" x14ac:dyDescent="0.3">
      <c r="A379">
        <v>267</v>
      </c>
      <c r="B379">
        <v>6330</v>
      </c>
      <c r="C379" t="s">
        <v>178</v>
      </c>
      <c r="D379" t="s">
        <v>163</v>
      </c>
      <c r="E379">
        <f>_xlfn.XLOOKUP(D379,Regije!B:B,Regije!A:A)</f>
        <v>12</v>
      </c>
      <c r="F379" t="str">
        <f t="shared" si="5"/>
        <v>update postalCodes set RegionID=12 where code=6330;</v>
      </c>
    </row>
    <row r="380" spans="1:6" x14ac:dyDescent="0.3">
      <c r="A380">
        <v>336</v>
      </c>
      <c r="B380">
        <v>6333</v>
      </c>
      <c r="C380" t="s">
        <v>183</v>
      </c>
      <c r="D380" t="s">
        <v>163</v>
      </c>
      <c r="E380">
        <f>_xlfn.XLOOKUP(D380,Regije!B:B,Regije!A:A)</f>
        <v>12</v>
      </c>
      <c r="F380" t="str">
        <f t="shared" si="5"/>
        <v>update postalCodes set RegionID=12 where code=6333;</v>
      </c>
    </row>
    <row r="381" spans="1:6" x14ac:dyDescent="0.3">
      <c r="A381">
        <v>252</v>
      </c>
      <c r="B381">
        <v>8000</v>
      </c>
      <c r="C381" t="s">
        <v>117</v>
      </c>
      <c r="D381" t="s">
        <v>96</v>
      </c>
      <c r="E381">
        <f>_xlfn.XLOOKUP(D381,Regije!B:B,Regije!A:A)</f>
        <v>7</v>
      </c>
      <c r="F381" t="str">
        <f t="shared" si="5"/>
        <v>update postalCodes set RegionID=7 where code=8000;</v>
      </c>
    </row>
    <row r="382" spans="1:6" x14ac:dyDescent="0.3">
      <c r="A382">
        <v>253</v>
      </c>
      <c r="B382">
        <v>8001</v>
      </c>
      <c r="C382" t="s">
        <v>118</v>
      </c>
      <c r="D382" t="s">
        <v>96</v>
      </c>
      <c r="E382">
        <f>_xlfn.XLOOKUP(D382,Regije!B:B,Regije!A:A)</f>
        <v>7</v>
      </c>
      <c r="F382" t="str">
        <f t="shared" si="5"/>
        <v>update postalCodes set RegionID=7 where code=8001;</v>
      </c>
    </row>
    <row r="383" spans="1:6" x14ac:dyDescent="0.3">
      <c r="A383">
        <v>420</v>
      </c>
      <c r="B383">
        <v>8210</v>
      </c>
      <c r="C383" t="s">
        <v>136</v>
      </c>
      <c r="D383" t="s">
        <v>96</v>
      </c>
      <c r="E383">
        <f>_xlfn.XLOOKUP(D383,Regije!B:B,Regije!A:A)</f>
        <v>7</v>
      </c>
      <c r="F383" t="str">
        <f t="shared" si="5"/>
        <v>update postalCodes set RegionID=7 where code=8210;</v>
      </c>
    </row>
    <row r="384" spans="1:6" x14ac:dyDescent="0.3">
      <c r="A384">
        <v>68</v>
      </c>
      <c r="B384">
        <v>8211</v>
      </c>
      <c r="C384" t="s">
        <v>100</v>
      </c>
      <c r="D384" t="s">
        <v>96</v>
      </c>
      <c r="E384">
        <f>_xlfn.XLOOKUP(D384,Regije!B:B,Regije!A:A)</f>
        <v>7</v>
      </c>
      <c r="F384" t="str">
        <f t="shared" si="5"/>
        <v>update postalCodes set RegionID=7 where code=8211;</v>
      </c>
    </row>
    <row r="385" spans="1:6" x14ac:dyDescent="0.3">
      <c r="A385">
        <v>433</v>
      </c>
      <c r="B385">
        <v>8212</v>
      </c>
      <c r="C385" t="s">
        <v>138</v>
      </c>
      <c r="D385" t="s">
        <v>96</v>
      </c>
      <c r="E385">
        <f>_xlfn.XLOOKUP(D385,Regije!B:B,Regije!A:A)</f>
        <v>7</v>
      </c>
      <c r="F385" t="str">
        <f t="shared" si="5"/>
        <v>update postalCodes set RegionID=7 where code=8212;</v>
      </c>
    </row>
    <row r="386" spans="1:6" x14ac:dyDescent="0.3">
      <c r="A386">
        <v>437</v>
      </c>
      <c r="B386">
        <v>8213</v>
      </c>
      <c r="C386" t="s">
        <v>139</v>
      </c>
      <c r="D386" t="s">
        <v>96</v>
      </c>
      <c r="E386">
        <f>_xlfn.XLOOKUP(D386,Regije!B:B,Regije!A:A)</f>
        <v>7</v>
      </c>
      <c r="F386" t="str">
        <f t="shared" si="5"/>
        <v>update postalCodes set RegionID=7 where code=8213;</v>
      </c>
    </row>
    <row r="387" spans="1:6" x14ac:dyDescent="0.3">
      <c r="A387">
        <v>233</v>
      </c>
      <c r="B387">
        <v>8216</v>
      </c>
      <c r="C387" t="s">
        <v>115</v>
      </c>
      <c r="D387" t="s">
        <v>96</v>
      </c>
      <c r="E387">
        <f>_xlfn.XLOOKUP(D387,Regije!B:B,Regije!A:A)</f>
        <v>7</v>
      </c>
      <c r="F387" t="str">
        <f t="shared" ref="F387:F450" si="6">"update postalCodes set RegionID="&amp;E387&amp;" where code="&amp;B387&amp;";"</f>
        <v>update postalCodes set RegionID=7 where code=8216;</v>
      </c>
    </row>
    <row r="388" spans="1:6" x14ac:dyDescent="0.3">
      <c r="A388">
        <v>402</v>
      </c>
      <c r="B388">
        <v>8220</v>
      </c>
      <c r="C388" t="s">
        <v>134</v>
      </c>
      <c r="D388" t="s">
        <v>96</v>
      </c>
      <c r="E388">
        <f>_xlfn.XLOOKUP(D388,Regije!B:B,Regije!A:A)</f>
        <v>7</v>
      </c>
      <c r="F388" t="str">
        <f t="shared" si="6"/>
        <v>update postalCodes set RegionID=7 where code=8220;</v>
      </c>
    </row>
    <row r="389" spans="1:6" x14ac:dyDescent="0.3">
      <c r="A389">
        <v>261</v>
      </c>
      <c r="B389">
        <v>8222</v>
      </c>
      <c r="C389" t="s">
        <v>121</v>
      </c>
      <c r="D389" t="s">
        <v>96</v>
      </c>
      <c r="E389">
        <f>_xlfn.XLOOKUP(D389,Regije!B:B,Regije!A:A)</f>
        <v>7</v>
      </c>
      <c r="F389" t="str">
        <f t="shared" si="6"/>
        <v>update postalCodes set RegionID=7 where code=8222;</v>
      </c>
    </row>
    <row r="390" spans="1:6" x14ac:dyDescent="0.3">
      <c r="A390">
        <v>236</v>
      </c>
      <c r="B390">
        <v>8230</v>
      </c>
      <c r="C390" t="s">
        <v>116</v>
      </c>
      <c r="D390" t="s">
        <v>96</v>
      </c>
      <c r="E390">
        <f>_xlfn.XLOOKUP(D390,Regije!B:B,Regije!A:A)</f>
        <v>7</v>
      </c>
      <c r="F390" t="str">
        <f t="shared" si="6"/>
        <v>update postalCodes set RegionID=7 where code=8230;</v>
      </c>
    </row>
    <row r="391" spans="1:6" x14ac:dyDescent="0.3">
      <c r="A391">
        <v>419</v>
      </c>
      <c r="B391">
        <v>8231</v>
      </c>
      <c r="C391" t="s">
        <v>135</v>
      </c>
      <c r="D391" t="s">
        <v>96</v>
      </c>
      <c r="E391">
        <f>_xlfn.XLOOKUP(D391,Regije!B:B,Regije!A:A)</f>
        <v>7</v>
      </c>
      <c r="F391" t="str">
        <f t="shared" si="6"/>
        <v>update postalCodes set RegionID=7 where code=8231;</v>
      </c>
    </row>
    <row r="392" spans="1:6" x14ac:dyDescent="0.3">
      <c r="A392">
        <v>392</v>
      </c>
      <c r="B392">
        <v>8232</v>
      </c>
      <c r="C392" t="s">
        <v>132</v>
      </c>
      <c r="D392" t="s">
        <v>96</v>
      </c>
      <c r="E392">
        <f>_xlfn.XLOOKUP(D392,Regije!B:B,Regije!A:A)</f>
        <v>7</v>
      </c>
      <c r="F392" t="str">
        <f t="shared" si="6"/>
        <v>update postalCodes set RegionID=7 where code=8232;</v>
      </c>
    </row>
    <row r="393" spans="1:6" x14ac:dyDescent="0.3">
      <c r="A393">
        <v>232</v>
      </c>
      <c r="B393">
        <v>8233</v>
      </c>
      <c r="C393" t="s">
        <v>114</v>
      </c>
      <c r="D393" t="s">
        <v>96</v>
      </c>
      <c r="E393">
        <f>_xlfn.XLOOKUP(D393,Regije!B:B,Regije!A:A)</f>
        <v>7</v>
      </c>
      <c r="F393" t="str">
        <f t="shared" si="6"/>
        <v>update postalCodes set RegionID=7 where code=8233;</v>
      </c>
    </row>
    <row r="394" spans="1:6" x14ac:dyDescent="0.3">
      <c r="A394">
        <v>32</v>
      </c>
      <c r="B394">
        <v>8250</v>
      </c>
      <c r="C394" t="s">
        <v>376</v>
      </c>
      <c r="D394" t="s">
        <v>371</v>
      </c>
      <c r="E394">
        <f>_xlfn.XLOOKUP(D394,Regije!B:B,Regije!A:A)</f>
        <v>6</v>
      </c>
      <c r="F394" t="str">
        <f t="shared" si="6"/>
        <v>update postalCodes set RegionID=6 where code=8250;</v>
      </c>
    </row>
    <row r="395" spans="1:6" x14ac:dyDescent="0.3">
      <c r="A395">
        <v>49</v>
      </c>
      <c r="B395">
        <v>8251</v>
      </c>
      <c r="C395" t="s">
        <v>378</v>
      </c>
      <c r="D395" t="s">
        <v>371</v>
      </c>
      <c r="E395">
        <f>_xlfn.XLOOKUP(D395,Regije!B:B,Regije!A:A)</f>
        <v>6</v>
      </c>
      <c r="F395" t="str">
        <f t="shared" si="6"/>
        <v>update postalCodes set RegionID=6 where code=8251;</v>
      </c>
    </row>
    <row r="396" spans="1:6" x14ac:dyDescent="0.3">
      <c r="A396">
        <v>5</v>
      </c>
      <c r="B396">
        <v>8253</v>
      </c>
      <c r="C396" t="s">
        <v>370</v>
      </c>
      <c r="D396" t="s">
        <v>371</v>
      </c>
      <c r="E396">
        <f>_xlfn.XLOOKUP(D396,Regije!B:B,Regije!A:A)</f>
        <v>6</v>
      </c>
      <c r="F396" t="str">
        <f t="shared" si="6"/>
        <v>update postalCodes set RegionID=6 where code=8253;</v>
      </c>
    </row>
    <row r="397" spans="1:6" x14ac:dyDescent="0.3">
      <c r="A397">
        <v>92</v>
      </c>
      <c r="B397">
        <v>8254</v>
      </c>
      <c r="C397" t="s">
        <v>380</v>
      </c>
      <c r="D397" t="s">
        <v>371</v>
      </c>
      <c r="E397">
        <f>_xlfn.XLOOKUP(D397,Regije!B:B,Regije!A:A)</f>
        <v>6</v>
      </c>
      <c r="F397" t="str">
        <f t="shared" si="6"/>
        <v>update postalCodes set RegionID=6 where code=8254;</v>
      </c>
    </row>
    <row r="398" spans="1:6" x14ac:dyDescent="0.3">
      <c r="A398">
        <v>268</v>
      </c>
      <c r="B398">
        <v>8255</v>
      </c>
      <c r="C398" t="s">
        <v>389</v>
      </c>
      <c r="D398" t="s">
        <v>371</v>
      </c>
      <c r="E398">
        <f>_xlfn.XLOOKUP(D398,Regije!B:B,Regije!A:A)</f>
        <v>6</v>
      </c>
      <c r="F398" t="str">
        <f t="shared" si="6"/>
        <v>update postalCodes set RegionID=6 where code=8255;</v>
      </c>
    </row>
    <row r="399" spans="1:6" x14ac:dyDescent="0.3">
      <c r="A399">
        <v>361</v>
      </c>
      <c r="B399">
        <v>8256</v>
      </c>
      <c r="C399" t="s">
        <v>394</v>
      </c>
      <c r="D399" t="s">
        <v>371</v>
      </c>
      <c r="E399">
        <f>_xlfn.XLOOKUP(D399,Regije!B:B,Regije!A:A)</f>
        <v>6</v>
      </c>
      <c r="F399" t="str">
        <f t="shared" si="6"/>
        <v>update postalCodes set RegionID=6 where code=8256;</v>
      </c>
    </row>
    <row r="400" spans="1:6" x14ac:dyDescent="0.3">
      <c r="A400">
        <v>64</v>
      </c>
      <c r="B400">
        <v>8257</v>
      </c>
      <c r="C400" t="s">
        <v>379</v>
      </c>
      <c r="D400" t="s">
        <v>371</v>
      </c>
      <c r="E400">
        <f>_xlfn.XLOOKUP(D400,Regije!B:B,Regije!A:A)</f>
        <v>6</v>
      </c>
      <c r="F400" t="str">
        <f t="shared" si="6"/>
        <v>update postalCodes set RegionID=6 where code=8257;</v>
      </c>
    </row>
    <row r="401" spans="1:6" x14ac:dyDescent="0.3">
      <c r="A401">
        <v>142</v>
      </c>
      <c r="B401">
        <v>8258</v>
      </c>
      <c r="C401" t="s">
        <v>382</v>
      </c>
      <c r="D401" t="s">
        <v>371</v>
      </c>
      <c r="E401">
        <f>_xlfn.XLOOKUP(D401,Regije!B:B,Regije!A:A)</f>
        <v>6</v>
      </c>
      <c r="F401" t="str">
        <f t="shared" si="6"/>
        <v>update postalCodes set RegionID=6 where code=8258;</v>
      </c>
    </row>
    <row r="402" spans="1:6" x14ac:dyDescent="0.3">
      <c r="A402">
        <v>12</v>
      </c>
      <c r="B402">
        <v>8259</v>
      </c>
      <c r="C402" t="s">
        <v>372</v>
      </c>
      <c r="D402" t="s">
        <v>371</v>
      </c>
      <c r="E402">
        <f>_xlfn.XLOOKUP(D402,Regije!B:B,Regije!A:A)</f>
        <v>6</v>
      </c>
      <c r="F402" t="str">
        <f t="shared" si="6"/>
        <v>update postalCodes set RegionID=6 where code=8259;</v>
      </c>
    </row>
    <row r="403" spans="1:6" x14ac:dyDescent="0.3">
      <c r="A403">
        <v>132</v>
      </c>
      <c r="B403">
        <v>8261</v>
      </c>
      <c r="C403" t="s">
        <v>381</v>
      </c>
      <c r="D403" t="s">
        <v>371</v>
      </c>
      <c r="E403">
        <f>_xlfn.XLOOKUP(D403,Regije!B:B,Regije!A:A)</f>
        <v>6</v>
      </c>
      <c r="F403" t="str">
        <f t="shared" si="6"/>
        <v>update postalCodes set RegionID=6 where code=8261;</v>
      </c>
    </row>
    <row r="404" spans="1:6" x14ac:dyDescent="0.3">
      <c r="A404">
        <v>175</v>
      </c>
      <c r="B404">
        <v>8262</v>
      </c>
      <c r="C404" t="s">
        <v>385</v>
      </c>
      <c r="D404" t="s">
        <v>371</v>
      </c>
      <c r="E404">
        <f>_xlfn.XLOOKUP(D404,Regije!B:B,Regije!A:A)</f>
        <v>6</v>
      </c>
      <c r="F404" t="str">
        <f t="shared" si="6"/>
        <v>update postalCodes set RegionID=6 where code=8262;</v>
      </c>
    </row>
    <row r="405" spans="1:6" x14ac:dyDescent="0.3">
      <c r="A405">
        <v>41</v>
      </c>
      <c r="B405">
        <v>8263</v>
      </c>
      <c r="C405" t="s">
        <v>377</v>
      </c>
      <c r="D405" t="s">
        <v>371</v>
      </c>
      <c r="E405">
        <f>_xlfn.XLOOKUP(D405,Regije!B:B,Regije!A:A)</f>
        <v>6</v>
      </c>
      <c r="F405" t="str">
        <f t="shared" si="6"/>
        <v>update postalCodes set RegionID=6 where code=8263;</v>
      </c>
    </row>
    <row r="406" spans="1:6" x14ac:dyDescent="0.3">
      <c r="A406">
        <v>176</v>
      </c>
      <c r="B406">
        <v>8270</v>
      </c>
      <c r="C406" t="s">
        <v>386</v>
      </c>
      <c r="D406" t="s">
        <v>371</v>
      </c>
      <c r="E406">
        <f>_xlfn.XLOOKUP(D406,Regije!B:B,Regije!A:A)</f>
        <v>6</v>
      </c>
      <c r="F406" t="str">
        <f t="shared" si="6"/>
        <v>update postalCodes set RegionID=6 where code=8270;</v>
      </c>
    </row>
    <row r="407" spans="1:6" x14ac:dyDescent="0.3">
      <c r="A407">
        <v>460</v>
      </c>
      <c r="B407">
        <v>8272</v>
      </c>
      <c r="C407" t="s">
        <v>399</v>
      </c>
      <c r="D407" t="s">
        <v>371</v>
      </c>
      <c r="E407">
        <f>_xlfn.XLOOKUP(D407,Regije!B:B,Regije!A:A)</f>
        <v>6</v>
      </c>
      <c r="F407" t="str">
        <f t="shared" si="6"/>
        <v>update postalCodes set RegionID=6 where code=8272;</v>
      </c>
    </row>
    <row r="408" spans="1:6" x14ac:dyDescent="0.3">
      <c r="A408">
        <v>185</v>
      </c>
      <c r="B408">
        <v>8273</v>
      </c>
      <c r="C408" t="s">
        <v>387</v>
      </c>
      <c r="D408" t="s">
        <v>371</v>
      </c>
      <c r="E408">
        <f>_xlfn.XLOOKUP(D408,Regije!B:B,Regije!A:A)</f>
        <v>6</v>
      </c>
      <c r="F408" t="str">
        <f t="shared" si="6"/>
        <v>update postalCodes set RegionID=6 where code=8273;</v>
      </c>
    </row>
    <row r="409" spans="1:6" x14ac:dyDescent="0.3">
      <c r="A409">
        <v>318</v>
      </c>
      <c r="B409">
        <v>8274</v>
      </c>
      <c r="C409" t="s">
        <v>391</v>
      </c>
      <c r="D409" t="s">
        <v>371</v>
      </c>
      <c r="E409">
        <f>_xlfn.XLOOKUP(D409,Regije!B:B,Regije!A:A)</f>
        <v>6</v>
      </c>
      <c r="F409" t="str">
        <f t="shared" si="6"/>
        <v>update postalCodes set RegionID=6 where code=8274;</v>
      </c>
    </row>
    <row r="410" spans="1:6" x14ac:dyDescent="0.3">
      <c r="A410">
        <v>394</v>
      </c>
      <c r="B410">
        <v>8275</v>
      </c>
      <c r="C410" t="s">
        <v>133</v>
      </c>
      <c r="D410" t="s">
        <v>96</v>
      </c>
      <c r="E410">
        <f>_xlfn.XLOOKUP(D410,Regije!B:B,Regije!A:A)</f>
        <v>7</v>
      </c>
      <c r="F410" t="str">
        <f t="shared" si="6"/>
        <v>update postalCodes set RegionID=7 where code=8275;</v>
      </c>
    </row>
    <row r="411" spans="1:6" x14ac:dyDescent="0.3">
      <c r="A411">
        <v>36</v>
      </c>
      <c r="B411">
        <v>8276</v>
      </c>
      <c r="C411" t="s">
        <v>98</v>
      </c>
      <c r="D411" t="s">
        <v>96</v>
      </c>
      <c r="E411">
        <f>_xlfn.XLOOKUP(D411,Regije!B:B,Regije!A:A)</f>
        <v>7</v>
      </c>
      <c r="F411" t="str">
        <f t="shared" si="6"/>
        <v>update postalCodes set RegionID=7 where code=8276;</v>
      </c>
    </row>
    <row r="412" spans="1:6" x14ac:dyDescent="0.3">
      <c r="A412">
        <v>28</v>
      </c>
      <c r="B412">
        <v>8280</v>
      </c>
      <c r="C412" t="s">
        <v>375</v>
      </c>
      <c r="D412" t="s">
        <v>371</v>
      </c>
      <c r="E412">
        <f>_xlfn.XLOOKUP(D412,Regije!B:B,Regije!A:A)</f>
        <v>6</v>
      </c>
      <c r="F412" t="str">
        <f t="shared" si="6"/>
        <v>update postalCodes set RegionID=6 where code=8280;</v>
      </c>
    </row>
    <row r="413" spans="1:6" x14ac:dyDescent="0.3">
      <c r="A413">
        <v>340</v>
      </c>
      <c r="B413">
        <v>8281</v>
      </c>
      <c r="C413" t="s">
        <v>392</v>
      </c>
      <c r="D413" t="s">
        <v>371</v>
      </c>
      <c r="E413">
        <f>_xlfn.XLOOKUP(D413,Regije!B:B,Regije!A:A)</f>
        <v>6</v>
      </c>
      <c r="F413" t="str">
        <f t="shared" si="6"/>
        <v>update postalCodes set RegionID=6 where code=8281;</v>
      </c>
    </row>
    <row r="414" spans="1:6" x14ac:dyDescent="0.3">
      <c r="A414">
        <v>157</v>
      </c>
      <c r="B414">
        <v>8282</v>
      </c>
      <c r="C414" t="s">
        <v>383</v>
      </c>
      <c r="D414" t="s">
        <v>371</v>
      </c>
      <c r="E414">
        <f>_xlfn.XLOOKUP(D414,Regije!B:B,Regije!A:A)</f>
        <v>6</v>
      </c>
      <c r="F414" t="str">
        <f t="shared" si="6"/>
        <v>update postalCodes set RegionID=6 where code=8282;</v>
      </c>
    </row>
    <row r="415" spans="1:6" x14ac:dyDescent="0.3">
      <c r="A415">
        <v>14</v>
      </c>
      <c r="B415">
        <v>8283</v>
      </c>
      <c r="C415" t="s">
        <v>373</v>
      </c>
      <c r="D415" t="s">
        <v>371</v>
      </c>
      <c r="E415">
        <f>_xlfn.XLOOKUP(D415,Regije!B:B,Regije!A:A)</f>
        <v>6</v>
      </c>
      <c r="F415" t="str">
        <f t="shared" si="6"/>
        <v>update postalCodes set RegionID=6 where code=8283;</v>
      </c>
    </row>
    <row r="416" spans="1:6" x14ac:dyDescent="0.3">
      <c r="A416">
        <v>342</v>
      </c>
      <c r="B416">
        <v>8290</v>
      </c>
      <c r="C416" t="s">
        <v>393</v>
      </c>
      <c r="D416" t="s">
        <v>371</v>
      </c>
      <c r="E416">
        <f>_xlfn.XLOOKUP(D416,Regije!B:B,Regije!A:A)</f>
        <v>6</v>
      </c>
      <c r="F416" t="str">
        <f t="shared" si="6"/>
        <v>update postalCodes set RegionID=6 where code=8290;</v>
      </c>
    </row>
    <row r="417" spans="1:6" x14ac:dyDescent="0.3">
      <c r="A417">
        <v>456</v>
      </c>
      <c r="B417">
        <v>8292</v>
      </c>
      <c r="C417" t="s">
        <v>398</v>
      </c>
      <c r="D417" t="s">
        <v>371</v>
      </c>
      <c r="E417">
        <f>_xlfn.XLOOKUP(D417,Regije!B:B,Regije!A:A)</f>
        <v>6</v>
      </c>
      <c r="F417" t="str">
        <f t="shared" si="6"/>
        <v>update postalCodes set RegionID=6 where code=8292;</v>
      </c>
    </row>
    <row r="418" spans="1:6" x14ac:dyDescent="0.3">
      <c r="A418">
        <v>373</v>
      </c>
      <c r="B418">
        <v>8293</v>
      </c>
      <c r="C418" t="s">
        <v>395</v>
      </c>
      <c r="D418" t="s">
        <v>371</v>
      </c>
      <c r="E418">
        <f>_xlfn.XLOOKUP(D418,Regije!B:B,Regije!A:A)</f>
        <v>6</v>
      </c>
      <c r="F418" t="str">
        <f t="shared" si="6"/>
        <v>update postalCodes set RegionID=6 where code=8293;</v>
      </c>
    </row>
    <row r="419" spans="1:6" x14ac:dyDescent="0.3">
      <c r="A419">
        <v>23</v>
      </c>
      <c r="B419">
        <v>8294</v>
      </c>
      <c r="C419" t="s">
        <v>374</v>
      </c>
      <c r="D419" t="s">
        <v>371</v>
      </c>
      <c r="E419">
        <f>_xlfn.XLOOKUP(D419,Regije!B:B,Regije!A:A)</f>
        <v>6</v>
      </c>
      <c r="F419" t="str">
        <f t="shared" si="6"/>
        <v>update postalCodes set RegionID=6 where code=8294;</v>
      </c>
    </row>
    <row r="420" spans="1:6" x14ac:dyDescent="0.3">
      <c r="A420">
        <v>426</v>
      </c>
      <c r="B420">
        <v>8295</v>
      </c>
      <c r="C420" t="s">
        <v>397</v>
      </c>
      <c r="D420" t="s">
        <v>371</v>
      </c>
      <c r="E420">
        <f>_xlfn.XLOOKUP(D420,Regije!B:B,Regije!A:A)</f>
        <v>6</v>
      </c>
      <c r="F420" t="str">
        <f t="shared" si="6"/>
        <v>update postalCodes set RegionID=6 where code=8295;</v>
      </c>
    </row>
    <row r="421" spans="1:6" x14ac:dyDescent="0.3">
      <c r="A421">
        <v>173</v>
      </c>
      <c r="B421">
        <v>8296</v>
      </c>
      <c r="C421" t="s">
        <v>384</v>
      </c>
      <c r="D421" t="s">
        <v>371</v>
      </c>
      <c r="E421">
        <f>_xlfn.XLOOKUP(D421,Regije!B:B,Regije!A:A)</f>
        <v>6</v>
      </c>
      <c r="F421" t="str">
        <f t="shared" si="6"/>
        <v>update postalCodes set RegionID=6 where code=8296;</v>
      </c>
    </row>
    <row r="422" spans="1:6" x14ac:dyDescent="0.3">
      <c r="A422">
        <v>387</v>
      </c>
      <c r="B422">
        <v>8297</v>
      </c>
      <c r="C422" t="s">
        <v>396</v>
      </c>
      <c r="D422" t="s">
        <v>371</v>
      </c>
      <c r="E422">
        <f>_xlfn.XLOOKUP(D422,Regije!B:B,Regije!A:A)</f>
        <v>6</v>
      </c>
      <c r="F422" t="str">
        <f t="shared" si="6"/>
        <v>update postalCodes set RegionID=6 where code=8297;</v>
      </c>
    </row>
    <row r="423" spans="1:6" x14ac:dyDescent="0.3">
      <c r="A423">
        <v>389</v>
      </c>
      <c r="B423">
        <v>8310</v>
      </c>
      <c r="C423" t="s">
        <v>131</v>
      </c>
      <c r="D423" t="s">
        <v>96</v>
      </c>
      <c r="E423">
        <f>_xlfn.XLOOKUP(D423,Regije!B:B,Regije!A:A)</f>
        <v>7</v>
      </c>
      <c r="F423" t="str">
        <f t="shared" si="6"/>
        <v>update postalCodes set RegionID=7 where code=8310;</v>
      </c>
    </row>
    <row r="424" spans="1:6" x14ac:dyDescent="0.3">
      <c r="A424">
        <v>159</v>
      </c>
      <c r="B424">
        <v>8311</v>
      </c>
      <c r="C424" t="s">
        <v>110</v>
      </c>
      <c r="D424" t="s">
        <v>96</v>
      </c>
      <c r="E424">
        <f>_xlfn.XLOOKUP(D424,Regije!B:B,Regije!A:A)</f>
        <v>7</v>
      </c>
      <c r="F424" t="str">
        <f t="shared" si="6"/>
        <v>update postalCodes set RegionID=7 where code=8311;</v>
      </c>
    </row>
    <row r="425" spans="1:6" x14ac:dyDescent="0.3">
      <c r="A425">
        <v>273</v>
      </c>
      <c r="B425">
        <v>8312</v>
      </c>
      <c r="C425" t="s">
        <v>122</v>
      </c>
      <c r="D425" t="s">
        <v>96</v>
      </c>
      <c r="E425">
        <f>_xlfn.XLOOKUP(D425,Regije!B:B,Regije!A:A)</f>
        <v>7</v>
      </c>
      <c r="F425" t="str">
        <f t="shared" si="6"/>
        <v>update postalCodes set RegionID=7 where code=8312;</v>
      </c>
    </row>
    <row r="426" spans="1:6" x14ac:dyDescent="0.3">
      <c r="A426">
        <v>34</v>
      </c>
      <c r="B426">
        <v>8321</v>
      </c>
      <c r="C426" t="s">
        <v>97</v>
      </c>
      <c r="D426" t="s">
        <v>96</v>
      </c>
      <c r="E426">
        <f>_xlfn.XLOOKUP(D426,Regije!B:B,Regije!A:A)</f>
        <v>7</v>
      </c>
      <c r="F426" t="str">
        <f t="shared" si="6"/>
        <v>update postalCodes set RegionID=7 where code=8321;</v>
      </c>
    </row>
    <row r="427" spans="1:6" x14ac:dyDescent="0.3">
      <c r="A427">
        <v>369</v>
      </c>
      <c r="B427">
        <v>8322</v>
      </c>
      <c r="C427" t="s">
        <v>128</v>
      </c>
      <c r="D427" t="s">
        <v>96</v>
      </c>
      <c r="E427">
        <f>_xlfn.XLOOKUP(D427,Regije!B:B,Regije!A:A)</f>
        <v>7</v>
      </c>
      <c r="F427" t="str">
        <f t="shared" si="6"/>
        <v>update postalCodes set RegionID=7 where code=8322;</v>
      </c>
    </row>
    <row r="428" spans="1:6" x14ac:dyDescent="0.3">
      <c r="A428">
        <v>429</v>
      </c>
      <c r="B428">
        <v>8323</v>
      </c>
      <c r="C428" t="s">
        <v>137</v>
      </c>
      <c r="D428" t="s">
        <v>96</v>
      </c>
      <c r="E428">
        <f>_xlfn.XLOOKUP(D428,Regije!B:B,Regije!A:A)</f>
        <v>7</v>
      </c>
      <c r="F428" t="str">
        <f t="shared" si="6"/>
        <v>update postalCodes set RegionID=7 where code=8323;</v>
      </c>
    </row>
    <row r="429" spans="1:6" x14ac:dyDescent="0.3">
      <c r="A429">
        <v>227</v>
      </c>
      <c r="B429">
        <v>8330</v>
      </c>
      <c r="C429" t="s">
        <v>113</v>
      </c>
      <c r="D429" t="s">
        <v>96</v>
      </c>
      <c r="E429">
        <f>_xlfn.XLOOKUP(D429,Regije!B:B,Regije!A:A)</f>
        <v>7</v>
      </c>
      <c r="F429" t="str">
        <f t="shared" si="6"/>
        <v>update postalCodes set RegionID=7 where code=8330;</v>
      </c>
    </row>
    <row r="430" spans="1:6" x14ac:dyDescent="0.3">
      <c r="A430">
        <v>374</v>
      </c>
      <c r="B430">
        <v>8331</v>
      </c>
      <c r="C430" t="s">
        <v>130</v>
      </c>
      <c r="D430" t="s">
        <v>96</v>
      </c>
      <c r="E430">
        <f>_xlfn.XLOOKUP(D430,Regije!B:B,Regije!A:A)</f>
        <v>7</v>
      </c>
      <c r="F430" t="str">
        <f t="shared" si="6"/>
        <v>update postalCodes set RegionID=7 where code=8331;</v>
      </c>
    </row>
    <row r="431" spans="1:6" x14ac:dyDescent="0.3">
      <c r="A431">
        <v>104</v>
      </c>
      <c r="B431">
        <v>8332</v>
      </c>
      <c r="C431" t="s">
        <v>106</v>
      </c>
      <c r="D431" t="s">
        <v>96</v>
      </c>
      <c r="E431">
        <f>_xlfn.XLOOKUP(D431,Regije!B:B,Regije!A:A)</f>
        <v>7</v>
      </c>
      <c r="F431" t="str">
        <f t="shared" si="6"/>
        <v>update postalCodes set RegionID=7 where code=8332;</v>
      </c>
    </row>
    <row r="432" spans="1:6" x14ac:dyDescent="0.3">
      <c r="A432">
        <v>339</v>
      </c>
      <c r="B432">
        <v>8333</v>
      </c>
      <c r="C432" t="s">
        <v>124</v>
      </c>
      <c r="D432" t="s">
        <v>96</v>
      </c>
      <c r="E432">
        <f>_xlfn.XLOOKUP(D432,Regije!B:B,Regije!A:A)</f>
        <v>7</v>
      </c>
      <c r="F432" t="str">
        <f t="shared" si="6"/>
        <v>update postalCodes set RegionID=7 where code=8333;</v>
      </c>
    </row>
    <row r="433" spans="1:6" x14ac:dyDescent="0.3">
      <c r="A433">
        <v>57</v>
      </c>
      <c r="B433">
        <v>8340</v>
      </c>
      <c r="C433" t="s">
        <v>99</v>
      </c>
      <c r="D433" t="s">
        <v>96</v>
      </c>
      <c r="E433">
        <f>_xlfn.XLOOKUP(D433,Regije!B:B,Regije!A:A)</f>
        <v>7</v>
      </c>
      <c r="F433" t="str">
        <f t="shared" si="6"/>
        <v>update postalCodes set RegionID=7 where code=8340;</v>
      </c>
    </row>
    <row r="434" spans="1:6" x14ac:dyDescent="0.3">
      <c r="A434">
        <v>1</v>
      </c>
      <c r="B434">
        <v>8341</v>
      </c>
      <c r="C434" t="s">
        <v>95</v>
      </c>
      <c r="D434" t="s">
        <v>96</v>
      </c>
      <c r="E434">
        <f>_xlfn.XLOOKUP(D434,Regije!B:B,Regije!A:A)</f>
        <v>7</v>
      </c>
      <c r="F434" t="str">
        <f t="shared" si="6"/>
        <v>update postalCodes set RegionID=7 where code=8341;</v>
      </c>
    </row>
    <row r="435" spans="1:6" x14ac:dyDescent="0.3">
      <c r="A435">
        <v>365</v>
      </c>
      <c r="B435">
        <v>8342</v>
      </c>
      <c r="C435" t="s">
        <v>127</v>
      </c>
      <c r="D435" t="s">
        <v>96</v>
      </c>
      <c r="E435">
        <f>_xlfn.XLOOKUP(D435,Regije!B:B,Regije!A:A)</f>
        <v>7</v>
      </c>
      <c r="F435" t="str">
        <f t="shared" si="6"/>
        <v>update postalCodes set RegionID=7 where code=8342;</v>
      </c>
    </row>
    <row r="436" spans="1:6" x14ac:dyDescent="0.3">
      <c r="A436">
        <v>81</v>
      </c>
      <c r="B436">
        <v>8343</v>
      </c>
      <c r="C436" t="s">
        <v>104</v>
      </c>
      <c r="D436" t="s">
        <v>96</v>
      </c>
      <c r="E436">
        <f>_xlfn.XLOOKUP(D436,Regije!B:B,Regije!A:A)</f>
        <v>7</v>
      </c>
      <c r="F436" t="str">
        <f t="shared" si="6"/>
        <v>update postalCodes set RegionID=7 where code=8343;</v>
      </c>
    </row>
    <row r="437" spans="1:6" x14ac:dyDescent="0.3">
      <c r="A437">
        <v>441</v>
      </c>
      <c r="B437">
        <v>8344</v>
      </c>
      <c r="C437" t="s">
        <v>140</v>
      </c>
      <c r="D437" t="s">
        <v>96</v>
      </c>
      <c r="E437">
        <f>_xlfn.XLOOKUP(D437,Regije!B:B,Regije!A:A)</f>
        <v>7</v>
      </c>
      <c r="F437" t="str">
        <f t="shared" si="6"/>
        <v>update postalCodes set RegionID=7 where code=8344;</v>
      </c>
    </row>
    <row r="438" spans="1:6" x14ac:dyDescent="0.3">
      <c r="A438">
        <v>76</v>
      </c>
      <c r="B438">
        <v>8350</v>
      </c>
      <c r="C438" t="s">
        <v>102</v>
      </c>
      <c r="D438" t="s">
        <v>96</v>
      </c>
      <c r="E438">
        <f>_xlfn.XLOOKUP(D438,Regije!B:B,Regije!A:A)</f>
        <v>7</v>
      </c>
      <c r="F438" t="str">
        <f t="shared" si="6"/>
        <v>update postalCodes set RegionID=7 where code=8350;</v>
      </c>
    </row>
    <row r="439" spans="1:6" x14ac:dyDescent="0.3">
      <c r="A439">
        <v>371</v>
      </c>
      <c r="B439">
        <v>8351</v>
      </c>
      <c r="C439" t="s">
        <v>129</v>
      </c>
      <c r="D439" t="s">
        <v>96</v>
      </c>
      <c r="E439">
        <f>_xlfn.XLOOKUP(D439,Regije!B:B,Regije!A:A)</f>
        <v>7</v>
      </c>
      <c r="F439" t="str">
        <f t="shared" si="6"/>
        <v>update postalCodes set RegionID=7 where code=8351;</v>
      </c>
    </row>
    <row r="440" spans="1:6" x14ac:dyDescent="0.3">
      <c r="A440">
        <v>478</v>
      </c>
      <c r="B440">
        <v>8360</v>
      </c>
      <c r="C440" t="s">
        <v>141</v>
      </c>
      <c r="D440" t="s">
        <v>96</v>
      </c>
      <c r="E440">
        <f>_xlfn.XLOOKUP(D440,Regije!B:B,Regije!A:A)</f>
        <v>7</v>
      </c>
      <c r="F440" t="str">
        <f t="shared" si="6"/>
        <v>update postalCodes set RegionID=7 where code=8360;</v>
      </c>
    </row>
    <row r="441" spans="1:6" x14ac:dyDescent="0.3">
      <c r="A441">
        <v>86</v>
      </c>
      <c r="B441">
        <v>8361</v>
      </c>
      <c r="C441" t="s">
        <v>105</v>
      </c>
      <c r="D441" t="s">
        <v>96</v>
      </c>
      <c r="E441">
        <f>_xlfn.XLOOKUP(D441,Regije!B:B,Regije!A:A)</f>
        <v>7</v>
      </c>
      <c r="F441" t="str">
        <f t="shared" si="6"/>
        <v>update postalCodes set RegionID=7 where code=8361;</v>
      </c>
    </row>
    <row r="442" spans="1:6" x14ac:dyDescent="0.3">
      <c r="A442">
        <v>112</v>
      </c>
      <c r="B442">
        <v>8362</v>
      </c>
      <c r="C442" t="s">
        <v>107</v>
      </c>
      <c r="D442" t="s">
        <v>96</v>
      </c>
      <c r="E442">
        <f>_xlfn.XLOOKUP(D442,Regije!B:B,Regije!A:A)</f>
        <v>7</v>
      </c>
      <c r="F442" t="str">
        <f t="shared" si="6"/>
        <v>update postalCodes set RegionID=7 where code=8362;</v>
      </c>
    </row>
    <row r="443" spans="1:6" x14ac:dyDescent="0.3">
      <c r="A443">
        <v>242</v>
      </c>
      <c r="B443">
        <v>9000</v>
      </c>
      <c r="C443" t="s">
        <v>354</v>
      </c>
      <c r="D443" t="s">
        <v>333</v>
      </c>
      <c r="E443">
        <f>_xlfn.XLOOKUP(D443,Regije!B:B,Regije!A:A)</f>
        <v>1</v>
      </c>
      <c r="F443" t="str">
        <f t="shared" si="6"/>
        <v>update postalCodes set RegionID=1 where code=9000;</v>
      </c>
    </row>
    <row r="444" spans="1:6" x14ac:dyDescent="0.3">
      <c r="A444">
        <v>243</v>
      </c>
      <c r="B444">
        <v>9001</v>
      </c>
      <c r="C444" t="s">
        <v>355</v>
      </c>
      <c r="D444" t="s">
        <v>333</v>
      </c>
      <c r="E444">
        <f>_xlfn.XLOOKUP(D444,Regije!B:B,Regije!A:A)</f>
        <v>1</v>
      </c>
      <c r="F444" t="str">
        <f t="shared" si="6"/>
        <v>update postalCodes set RegionID=1 where code=9001;</v>
      </c>
    </row>
    <row r="445" spans="1:6" x14ac:dyDescent="0.3">
      <c r="A445">
        <v>311</v>
      </c>
      <c r="B445">
        <v>9201</v>
      </c>
      <c r="C445" t="s">
        <v>359</v>
      </c>
      <c r="D445" t="s">
        <v>333</v>
      </c>
      <c r="E445">
        <f>_xlfn.XLOOKUP(D445,Regije!B:B,Regije!A:A)</f>
        <v>1</v>
      </c>
      <c r="F445" t="str">
        <f t="shared" si="6"/>
        <v>update postalCodes set RegionID=1 where code=9201;</v>
      </c>
    </row>
    <row r="446" spans="1:6" x14ac:dyDescent="0.3">
      <c r="A446">
        <v>212</v>
      </c>
      <c r="B446">
        <v>9202</v>
      </c>
      <c r="C446" t="s">
        <v>350</v>
      </c>
      <c r="D446" t="s">
        <v>333</v>
      </c>
      <c r="E446">
        <f>_xlfn.XLOOKUP(D446,Regije!B:B,Regije!A:A)</f>
        <v>1</v>
      </c>
      <c r="F446" t="str">
        <f t="shared" si="6"/>
        <v>update postalCodes set RegionID=1 where code=9202;</v>
      </c>
    </row>
    <row r="447" spans="1:6" x14ac:dyDescent="0.3">
      <c r="A447">
        <v>265</v>
      </c>
      <c r="B447">
        <v>9203</v>
      </c>
      <c r="C447" t="s">
        <v>357</v>
      </c>
      <c r="D447" t="s">
        <v>333</v>
      </c>
      <c r="E447">
        <f>_xlfn.XLOOKUP(D447,Regije!B:B,Regije!A:A)</f>
        <v>1</v>
      </c>
      <c r="F447" t="str">
        <f t="shared" si="6"/>
        <v>update postalCodes set RegionID=1 where code=9203;</v>
      </c>
    </row>
    <row r="448" spans="1:6" x14ac:dyDescent="0.3">
      <c r="A448">
        <v>381</v>
      </c>
      <c r="B448">
        <v>9204</v>
      </c>
      <c r="C448" t="s">
        <v>365</v>
      </c>
      <c r="D448" t="s">
        <v>333</v>
      </c>
      <c r="E448">
        <f>_xlfn.XLOOKUP(D448,Regije!B:B,Regije!A:A)</f>
        <v>1</v>
      </c>
      <c r="F448" t="str">
        <f t="shared" si="6"/>
        <v>update postalCodes set RegionID=1 where code=9204;</v>
      </c>
    </row>
    <row r="449" spans="1:6" x14ac:dyDescent="0.3">
      <c r="A449">
        <v>114</v>
      </c>
      <c r="B449">
        <v>9205</v>
      </c>
      <c r="C449" t="s">
        <v>343</v>
      </c>
      <c r="D449" t="s">
        <v>333</v>
      </c>
      <c r="E449">
        <f>_xlfn.XLOOKUP(D449,Regije!B:B,Regije!A:A)</f>
        <v>1</v>
      </c>
      <c r="F449" t="str">
        <f t="shared" si="6"/>
        <v>update postalCodes set RegionID=1 where code=9205;</v>
      </c>
    </row>
    <row r="450" spans="1:6" x14ac:dyDescent="0.3">
      <c r="A450">
        <v>170</v>
      </c>
      <c r="B450">
        <v>9206</v>
      </c>
      <c r="C450" t="s">
        <v>345</v>
      </c>
      <c r="D450" t="s">
        <v>333</v>
      </c>
      <c r="E450">
        <f>_xlfn.XLOOKUP(D450,Regije!B:B,Regije!A:A)</f>
        <v>1</v>
      </c>
      <c r="F450" t="str">
        <f t="shared" si="6"/>
        <v>update postalCodes set RegionID=1 where code=9206;</v>
      </c>
    </row>
    <row r="451" spans="1:6" x14ac:dyDescent="0.3">
      <c r="A451">
        <v>307</v>
      </c>
      <c r="B451">
        <v>9207</v>
      </c>
      <c r="C451" t="s">
        <v>358</v>
      </c>
      <c r="D451" t="s">
        <v>333</v>
      </c>
      <c r="E451">
        <f>_xlfn.XLOOKUP(D451,Regije!B:B,Regije!A:A)</f>
        <v>1</v>
      </c>
      <c r="F451" t="str">
        <f t="shared" ref="F451:F484" si="7">"update postalCodes set RegionID="&amp;E451&amp;" where code="&amp;B451&amp;";"</f>
        <v>update postalCodes set RegionID=1 where code=9207;</v>
      </c>
    </row>
    <row r="452" spans="1:6" x14ac:dyDescent="0.3">
      <c r="A452">
        <v>88</v>
      </c>
      <c r="B452">
        <v>9208</v>
      </c>
      <c r="C452" t="s">
        <v>340</v>
      </c>
      <c r="D452" t="s">
        <v>333</v>
      </c>
      <c r="E452">
        <f>_xlfn.XLOOKUP(D452,Regije!B:B,Regije!A:A)</f>
        <v>1</v>
      </c>
      <c r="F452" t="str">
        <f t="shared" si="7"/>
        <v>update postalCodes set RegionID=1 where code=9208;</v>
      </c>
    </row>
    <row r="453" spans="1:6" x14ac:dyDescent="0.3">
      <c r="A453">
        <v>182</v>
      </c>
      <c r="B453">
        <v>9220</v>
      </c>
      <c r="C453" t="s">
        <v>348</v>
      </c>
      <c r="D453" t="s">
        <v>333</v>
      </c>
      <c r="E453">
        <f>_xlfn.XLOOKUP(D453,Regije!B:B,Regije!A:A)</f>
        <v>1</v>
      </c>
      <c r="F453" t="str">
        <f t="shared" si="7"/>
        <v>update postalCodes set RegionID=1 where code=9220;</v>
      </c>
    </row>
    <row r="454" spans="1:6" x14ac:dyDescent="0.3">
      <c r="A454">
        <v>222</v>
      </c>
      <c r="B454">
        <v>9221</v>
      </c>
      <c r="C454" t="s">
        <v>352</v>
      </c>
      <c r="D454" t="s">
        <v>333</v>
      </c>
      <c r="E454">
        <f>_xlfn.XLOOKUP(D454,Regije!B:B,Regije!A:A)</f>
        <v>1</v>
      </c>
      <c r="F454" t="str">
        <f t="shared" si="7"/>
        <v>update postalCodes set RegionID=1 where code=9221;</v>
      </c>
    </row>
    <row r="455" spans="1:6" x14ac:dyDescent="0.3">
      <c r="A455">
        <v>18</v>
      </c>
      <c r="B455">
        <v>9222</v>
      </c>
      <c r="C455" t="s">
        <v>336</v>
      </c>
      <c r="D455" t="s">
        <v>333</v>
      </c>
      <c r="E455">
        <f>_xlfn.XLOOKUP(D455,Regije!B:B,Regije!A:A)</f>
        <v>1</v>
      </c>
      <c r="F455" t="str">
        <f t="shared" si="7"/>
        <v>update postalCodes set RegionID=1 where code=9222;</v>
      </c>
    </row>
    <row r="456" spans="1:6" x14ac:dyDescent="0.3">
      <c r="A456">
        <v>70</v>
      </c>
      <c r="B456">
        <v>9223</v>
      </c>
      <c r="C456" t="s">
        <v>339</v>
      </c>
      <c r="D456" t="s">
        <v>333</v>
      </c>
      <c r="E456">
        <f>_xlfn.XLOOKUP(D456,Regije!B:B,Regije!A:A)</f>
        <v>1</v>
      </c>
      <c r="F456" t="str">
        <f t="shared" si="7"/>
        <v>update postalCodes set RegionID=1 where code=9223;</v>
      </c>
    </row>
    <row r="457" spans="1:6" x14ac:dyDescent="0.3">
      <c r="A457">
        <v>428</v>
      </c>
      <c r="B457">
        <v>9224</v>
      </c>
      <c r="C457" t="s">
        <v>367</v>
      </c>
      <c r="D457" t="s">
        <v>333</v>
      </c>
      <c r="E457">
        <f>_xlfn.XLOOKUP(D457,Regije!B:B,Regije!A:A)</f>
        <v>1</v>
      </c>
      <c r="F457" t="str">
        <f t="shared" si="7"/>
        <v>update postalCodes set RegionID=1 where code=9224;</v>
      </c>
    </row>
    <row r="458" spans="1:6" x14ac:dyDescent="0.3">
      <c r="A458">
        <v>435</v>
      </c>
      <c r="B458">
        <v>9225</v>
      </c>
      <c r="C458" t="s">
        <v>368</v>
      </c>
      <c r="D458" t="s">
        <v>333</v>
      </c>
      <c r="E458">
        <f>_xlfn.XLOOKUP(D458,Regije!B:B,Regije!A:A)</f>
        <v>1</v>
      </c>
      <c r="F458" t="str">
        <f t="shared" si="7"/>
        <v>update postalCodes set RegionID=1 where code=9225;</v>
      </c>
    </row>
    <row r="459" spans="1:6" x14ac:dyDescent="0.3">
      <c r="A459">
        <v>238</v>
      </c>
      <c r="B459">
        <v>9226</v>
      </c>
      <c r="C459" t="s">
        <v>353</v>
      </c>
      <c r="D459" t="s">
        <v>333</v>
      </c>
      <c r="E459">
        <f>_xlfn.XLOOKUP(D459,Regije!B:B,Regije!A:A)</f>
        <v>1</v>
      </c>
      <c r="F459" t="str">
        <f t="shared" si="7"/>
        <v>update postalCodes set RegionID=1 where code=9226;</v>
      </c>
    </row>
    <row r="460" spans="1:6" x14ac:dyDescent="0.3">
      <c r="A460">
        <v>148</v>
      </c>
      <c r="B460">
        <v>9227</v>
      </c>
      <c r="C460" t="s">
        <v>344</v>
      </c>
      <c r="D460" t="s">
        <v>333</v>
      </c>
      <c r="E460">
        <f>_xlfn.XLOOKUP(D460,Regije!B:B,Regije!A:A)</f>
        <v>1</v>
      </c>
      <c r="F460" t="str">
        <f t="shared" si="7"/>
        <v>update postalCodes set RegionID=1 where code=9227;</v>
      </c>
    </row>
    <row r="461" spans="1:6" x14ac:dyDescent="0.3">
      <c r="A461">
        <v>8</v>
      </c>
      <c r="B461">
        <v>9231</v>
      </c>
      <c r="C461" t="s">
        <v>334</v>
      </c>
      <c r="D461" t="s">
        <v>333</v>
      </c>
      <c r="E461">
        <f>_xlfn.XLOOKUP(D461,Regije!B:B,Regije!A:A)</f>
        <v>1</v>
      </c>
      <c r="F461" t="str">
        <f t="shared" si="7"/>
        <v>update postalCodes set RegionID=1 where code=9231;</v>
      </c>
    </row>
    <row r="462" spans="1:6" x14ac:dyDescent="0.3">
      <c r="A462">
        <v>52</v>
      </c>
      <c r="B462">
        <v>9232</v>
      </c>
      <c r="C462" t="s">
        <v>338</v>
      </c>
      <c r="D462" t="s">
        <v>333</v>
      </c>
      <c r="E462">
        <f>_xlfn.XLOOKUP(D462,Regije!B:B,Regije!A:A)</f>
        <v>1</v>
      </c>
      <c r="F462" t="str">
        <f t="shared" si="7"/>
        <v>update postalCodes set RegionID=1 where code=9232;</v>
      </c>
    </row>
    <row r="463" spans="1:6" x14ac:dyDescent="0.3">
      <c r="A463">
        <v>255</v>
      </c>
      <c r="B463">
        <v>9233</v>
      </c>
      <c r="C463" t="s">
        <v>356</v>
      </c>
      <c r="D463" t="s">
        <v>333</v>
      </c>
      <c r="E463">
        <f>_xlfn.XLOOKUP(D463,Regije!B:B,Regije!A:A)</f>
        <v>1</v>
      </c>
      <c r="F463" t="str">
        <f t="shared" si="7"/>
        <v>update postalCodes set RegionID=1 where code=9233;</v>
      </c>
    </row>
    <row r="464" spans="1:6" x14ac:dyDescent="0.3">
      <c r="A464">
        <v>199</v>
      </c>
      <c r="B464">
        <v>9240</v>
      </c>
      <c r="C464" t="s">
        <v>349</v>
      </c>
      <c r="D464" t="s">
        <v>333</v>
      </c>
      <c r="E464">
        <f>_xlfn.XLOOKUP(D464,Regije!B:B,Regije!A:A)</f>
        <v>1</v>
      </c>
      <c r="F464" t="str">
        <f t="shared" si="7"/>
        <v>update postalCodes set RegionID=1 where code=9240;</v>
      </c>
    </row>
    <row r="465" spans="1:6" x14ac:dyDescent="0.3">
      <c r="A465">
        <v>438</v>
      </c>
      <c r="B465">
        <v>9241</v>
      </c>
      <c r="C465" t="s">
        <v>369</v>
      </c>
      <c r="D465" t="s">
        <v>333</v>
      </c>
      <c r="E465">
        <f>_xlfn.XLOOKUP(D465,Regije!B:B,Regije!A:A)</f>
        <v>1</v>
      </c>
      <c r="F465" t="str">
        <f t="shared" si="7"/>
        <v>update postalCodes set RegionID=1 where code=9241;</v>
      </c>
    </row>
    <row r="466" spans="1:6" x14ac:dyDescent="0.3">
      <c r="A466">
        <v>171</v>
      </c>
      <c r="B466">
        <v>9242</v>
      </c>
      <c r="C466" t="s">
        <v>346</v>
      </c>
      <c r="D466" t="s">
        <v>333</v>
      </c>
      <c r="E466">
        <f>_xlfn.XLOOKUP(D466,Regije!B:B,Regije!A:A)</f>
        <v>1</v>
      </c>
      <c r="F466" t="str">
        <f t="shared" si="7"/>
        <v>update postalCodes set RegionID=1 where code=9242;</v>
      </c>
    </row>
    <row r="467" spans="1:6" x14ac:dyDescent="0.3">
      <c r="A467">
        <v>215</v>
      </c>
      <c r="B467">
        <v>9243</v>
      </c>
      <c r="C467" t="s">
        <v>351</v>
      </c>
      <c r="D467" t="s">
        <v>333</v>
      </c>
      <c r="E467">
        <f>_xlfn.XLOOKUP(D467,Regije!B:B,Regije!A:A)</f>
        <v>1</v>
      </c>
      <c r="F467" t="str">
        <f t="shared" si="7"/>
        <v>update postalCodes set RegionID=1 where code=9243;</v>
      </c>
    </row>
    <row r="468" spans="1:6" x14ac:dyDescent="0.3">
      <c r="A468">
        <v>378</v>
      </c>
      <c r="B468">
        <v>9244</v>
      </c>
      <c r="C468" t="s">
        <v>364</v>
      </c>
      <c r="D468" t="s">
        <v>333</v>
      </c>
      <c r="E468">
        <f>_xlfn.XLOOKUP(D468,Regije!B:B,Regije!A:A)</f>
        <v>1</v>
      </c>
      <c r="F468" t="str">
        <f t="shared" si="7"/>
        <v>update postalCodes set RegionID=1 where code=9244;</v>
      </c>
    </row>
    <row r="469" spans="1:6" x14ac:dyDescent="0.3">
      <c r="A469">
        <v>358</v>
      </c>
      <c r="B469">
        <v>9245</v>
      </c>
      <c r="C469" t="s">
        <v>363</v>
      </c>
      <c r="D469" t="s">
        <v>333</v>
      </c>
      <c r="E469">
        <f>_xlfn.XLOOKUP(D469,Regije!B:B,Regije!A:A)</f>
        <v>1</v>
      </c>
      <c r="F469" t="str">
        <f t="shared" si="7"/>
        <v>update postalCodes set RegionID=1 where code=9245;</v>
      </c>
    </row>
    <row r="470" spans="1:6" x14ac:dyDescent="0.3">
      <c r="A470">
        <v>322</v>
      </c>
      <c r="B470">
        <v>9246</v>
      </c>
      <c r="C470" t="s">
        <v>361</v>
      </c>
      <c r="D470" t="s">
        <v>333</v>
      </c>
      <c r="E470">
        <f>_xlfn.XLOOKUP(D470,Regije!B:B,Regije!A:A)</f>
        <v>1</v>
      </c>
      <c r="F470" t="str">
        <f t="shared" si="7"/>
        <v>update postalCodes set RegionID=1 where code=9246;</v>
      </c>
    </row>
    <row r="471" spans="1:6" x14ac:dyDescent="0.3">
      <c r="A471">
        <v>99</v>
      </c>
      <c r="B471">
        <v>9250</v>
      </c>
      <c r="C471" t="s">
        <v>341</v>
      </c>
      <c r="D471" t="s">
        <v>333</v>
      </c>
      <c r="E471">
        <f>_xlfn.XLOOKUP(D471,Regije!B:B,Regije!A:A)</f>
        <v>1</v>
      </c>
      <c r="F471" t="str">
        <f t="shared" si="7"/>
        <v>update postalCodes set RegionID=1 where code=9250;</v>
      </c>
    </row>
    <row r="472" spans="1:6" x14ac:dyDescent="0.3">
      <c r="A472">
        <v>414</v>
      </c>
      <c r="B472">
        <v>9251</v>
      </c>
      <c r="C472" t="s">
        <v>366</v>
      </c>
      <c r="D472" t="s">
        <v>333</v>
      </c>
      <c r="E472">
        <f>_xlfn.XLOOKUP(D472,Regije!B:B,Regije!A:A)</f>
        <v>1</v>
      </c>
      <c r="F472" t="str">
        <f t="shared" si="7"/>
        <v>update postalCodes set RegionID=1 where code=9251;</v>
      </c>
    </row>
    <row r="473" spans="1:6" x14ac:dyDescent="0.3">
      <c r="A473">
        <v>314</v>
      </c>
      <c r="B473">
        <v>9252</v>
      </c>
      <c r="C473" t="s">
        <v>360</v>
      </c>
      <c r="D473" t="s">
        <v>333</v>
      </c>
      <c r="E473">
        <f>_xlfn.XLOOKUP(D473,Regije!B:B,Regije!A:A)</f>
        <v>1</v>
      </c>
      <c r="F473" t="str">
        <f t="shared" si="7"/>
        <v>update postalCodes set RegionID=1 where code=9252;</v>
      </c>
    </row>
    <row r="474" spans="1:6" x14ac:dyDescent="0.3">
      <c r="A474">
        <v>4</v>
      </c>
      <c r="B474">
        <v>9253</v>
      </c>
      <c r="C474" t="s">
        <v>332</v>
      </c>
      <c r="D474" t="s">
        <v>333</v>
      </c>
      <c r="E474">
        <f>_xlfn.XLOOKUP(D474,Regije!B:B,Regije!A:A)</f>
        <v>1</v>
      </c>
      <c r="F474" t="str">
        <f t="shared" si="7"/>
        <v>update postalCodes set RegionID=1 where code=9253;</v>
      </c>
    </row>
    <row r="475" spans="1:6" x14ac:dyDescent="0.3">
      <c r="A475">
        <v>37</v>
      </c>
      <c r="B475">
        <v>9261</v>
      </c>
      <c r="C475" t="s">
        <v>337</v>
      </c>
      <c r="D475" t="s">
        <v>333</v>
      </c>
      <c r="E475">
        <f>_xlfn.XLOOKUP(D475,Regije!B:B,Regije!A:A)</f>
        <v>1</v>
      </c>
      <c r="F475" t="str">
        <f t="shared" si="7"/>
        <v>update postalCodes set RegionID=1 where code=9261;</v>
      </c>
    </row>
    <row r="476" spans="1:6" x14ac:dyDescent="0.3">
      <c r="A476">
        <v>331</v>
      </c>
      <c r="B476">
        <v>9262</v>
      </c>
      <c r="C476" t="s">
        <v>362</v>
      </c>
      <c r="D476" t="s">
        <v>333</v>
      </c>
      <c r="E476">
        <f>_xlfn.XLOOKUP(D476,Regije!B:B,Regije!A:A)</f>
        <v>1</v>
      </c>
      <c r="F476" t="str">
        <f t="shared" si="7"/>
        <v>update postalCodes set RegionID=1 where code=9262;</v>
      </c>
    </row>
    <row r="477" spans="1:6" x14ac:dyDescent="0.3">
      <c r="A477">
        <v>177</v>
      </c>
      <c r="B477">
        <v>9263</v>
      </c>
      <c r="C477" t="s">
        <v>347</v>
      </c>
      <c r="D477" t="s">
        <v>333</v>
      </c>
      <c r="E477">
        <f>_xlfn.XLOOKUP(D477,Regije!B:B,Regije!A:A)</f>
        <v>1</v>
      </c>
      <c r="F477" t="str">
        <f t="shared" si="7"/>
        <v>update postalCodes set RegionID=1 where code=9263;</v>
      </c>
    </row>
    <row r="478" spans="1:6" x14ac:dyDescent="0.3">
      <c r="A478">
        <v>103</v>
      </c>
      <c r="B478">
        <v>9264</v>
      </c>
      <c r="C478" t="s">
        <v>342</v>
      </c>
      <c r="D478" t="s">
        <v>333</v>
      </c>
      <c r="E478">
        <f>_xlfn.XLOOKUP(D478,Regije!B:B,Regije!A:A)</f>
        <v>1</v>
      </c>
      <c r="F478" t="str">
        <f t="shared" si="7"/>
        <v>update postalCodes set RegionID=1 where code=9264;</v>
      </c>
    </row>
    <row r="479" spans="1:6" x14ac:dyDescent="0.3">
      <c r="A479">
        <v>17</v>
      </c>
      <c r="B479">
        <v>9265</v>
      </c>
      <c r="C479" t="s">
        <v>335</v>
      </c>
      <c r="D479" t="s">
        <v>333</v>
      </c>
      <c r="E479">
        <f>_xlfn.XLOOKUP(D479,Regije!B:B,Regije!A:A)</f>
        <v>1</v>
      </c>
      <c r="F479" t="str">
        <f t="shared" si="7"/>
        <v>update postalCodes set RegionID=1 where code=9265;</v>
      </c>
    </row>
    <row r="480" spans="1:6" x14ac:dyDescent="0.3">
      <c r="A480">
        <v>480</v>
      </c>
      <c r="B480">
        <v>9991</v>
      </c>
      <c r="C480" t="s">
        <v>485</v>
      </c>
      <c r="D480" t="s">
        <v>486</v>
      </c>
      <c r="E480" t="e">
        <f>_xlfn.XLOOKUP(D480,Regije!B:B,Regije!A:A)</f>
        <v>#N/A</v>
      </c>
      <c r="F480" t="e">
        <f t="shared" si="7"/>
        <v>#N/A</v>
      </c>
    </row>
    <row r="481" spans="1:6" x14ac:dyDescent="0.3">
      <c r="A481">
        <v>481</v>
      </c>
      <c r="B481">
        <v>9992</v>
      </c>
      <c r="C481" t="s">
        <v>487</v>
      </c>
      <c r="D481" t="s">
        <v>486</v>
      </c>
      <c r="E481" t="e">
        <f>_xlfn.XLOOKUP(D481,Regije!B:B,Regije!A:A)</f>
        <v>#N/A</v>
      </c>
      <c r="F481" t="e">
        <f t="shared" si="7"/>
        <v>#N/A</v>
      </c>
    </row>
    <row r="482" spans="1:6" x14ac:dyDescent="0.3">
      <c r="A482">
        <v>482</v>
      </c>
      <c r="B482">
        <v>9993</v>
      </c>
      <c r="C482" t="s">
        <v>488</v>
      </c>
      <c r="D482" t="s">
        <v>486</v>
      </c>
      <c r="E482" t="e">
        <f>_xlfn.XLOOKUP(D482,Regije!B:B,Regije!A:A)</f>
        <v>#N/A</v>
      </c>
      <c r="F482" t="e">
        <f t="shared" si="7"/>
        <v>#N/A</v>
      </c>
    </row>
    <row r="483" spans="1:6" x14ac:dyDescent="0.3">
      <c r="A483">
        <v>483</v>
      </c>
      <c r="B483">
        <v>9994</v>
      </c>
      <c r="C483" t="s">
        <v>489</v>
      </c>
      <c r="D483" t="s">
        <v>486</v>
      </c>
      <c r="E483" t="e">
        <f>_xlfn.XLOOKUP(D483,Regije!B:B,Regije!A:A)</f>
        <v>#N/A</v>
      </c>
      <c r="F483" t="e">
        <f t="shared" si="7"/>
        <v>#N/A</v>
      </c>
    </row>
    <row r="484" spans="1:6" x14ac:dyDescent="0.3">
      <c r="A484">
        <v>479</v>
      </c>
      <c r="B484">
        <v>9999</v>
      </c>
      <c r="C484" t="s">
        <v>483</v>
      </c>
      <c r="D484" t="s">
        <v>484</v>
      </c>
      <c r="E484" t="e">
        <f>_xlfn.XLOOKUP(D484,Regije!B:B,Regije!A:A)</f>
        <v>#N/A</v>
      </c>
      <c r="F484" t="e">
        <f t="shared" si="7"/>
        <v>#N/A</v>
      </c>
    </row>
  </sheetData>
  <sortState xmlns:xlrd2="http://schemas.microsoft.com/office/spreadsheetml/2017/richdata2" ref="A2:E484">
    <sortCondition ref="B202:B484"/>
  </sortState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94BFE-C2D7-412A-A437-3169653CCC05}">
  <dimension ref="A1:F13"/>
  <sheetViews>
    <sheetView workbookViewId="0"/>
  </sheetViews>
  <sheetFormatPr defaultRowHeight="14.4" x14ac:dyDescent="0.3"/>
  <cols>
    <col min="5" max="5" width="18.6640625" bestFit="1" customWidth="1"/>
  </cols>
  <sheetData>
    <row r="1" spans="1:6" x14ac:dyDescent="0.3">
      <c r="A1" t="s">
        <v>0</v>
      </c>
      <c r="B1" t="s">
        <v>2</v>
      </c>
      <c r="E1" t="s">
        <v>500</v>
      </c>
      <c r="F1" t="s">
        <v>501</v>
      </c>
    </row>
    <row r="2" spans="1:6" x14ac:dyDescent="0.3">
      <c r="A2">
        <v>9</v>
      </c>
      <c r="B2" t="s">
        <v>6</v>
      </c>
      <c r="E2" t="s">
        <v>6</v>
      </c>
      <c r="F2">
        <v>45</v>
      </c>
    </row>
    <row r="3" spans="1:6" x14ac:dyDescent="0.3">
      <c r="A3">
        <v>11</v>
      </c>
      <c r="B3" t="s">
        <v>52</v>
      </c>
      <c r="E3" t="s">
        <v>52</v>
      </c>
      <c r="F3">
        <v>43</v>
      </c>
    </row>
    <row r="4" spans="1:6" x14ac:dyDescent="0.3">
      <c r="A4">
        <v>7</v>
      </c>
      <c r="B4" t="s">
        <v>96</v>
      </c>
      <c r="E4" t="s">
        <v>96</v>
      </c>
      <c r="F4">
        <v>47</v>
      </c>
    </row>
    <row r="5" spans="1:6" x14ac:dyDescent="0.3">
      <c r="A5">
        <v>3</v>
      </c>
      <c r="B5" t="s">
        <v>143</v>
      </c>
      <c r="E5" t="s">
        <v>143</v>
      </c>
      <c r="F5">
        <v>19</v>
      </c>
    </row>
    <row r="6" spans="1:6" x14ac:dyDescent="0.3">
      <c r="A6">
        <v>12</v>
      </c>
      <c r="B6" t="s">
        <v>163</v>
      </c>
      <c r="E6" t="s">
        <v>163</v>
      </c>
      <c r="F6">
        <v>27</v>
      </c>
    </row>
    <row r="7" spans="1:6" x14ac:dyDescent="0.3">
      <c r="A7">
        <v>8</v>
      </c>
      <c r="B7" t="s">
        <v>191</v>
      </c>
      <c r="E7" t="s">
        <v>191</v>
      </c>
      <c r="F7">
        <v>61</v>
      </c>
    </row>
    <row r="8" spans="1:6" x14ac:dyDescent="0.3">
      <c r="A8">
        <v>2</v>
      </c>
      <c r="B8" t="s">
        <v>253</v>
      </c>
      <c r="E8" t="s">
        <v>253</v>
      </c>
      <c r="F8">
        <v>79</v>
      </c>
    </row>
    <row r="9" spans="1:6" x14ac:dyDescent="0.3">
      <c r="A9">
        <v>1</v>
      </c>
      <c r="B9" t="s">
        <v>333</v>
      </c>
      <c r="E9" t="s">
        <v>333</v>
      </c>
      <c r="F9">
        <v>37</v>
      </c>
    </row>
    <row r="10" spans="1:6" x14ac:dyDescent="0.3">
      <c r="A10">
        <v>6</v>
      </c>
      <c r="B10" t="s">
        <v>371</v>
      </c>
      <c r="E10" t="s">
        <v>371</v>
      </c>
      <c r="F10">
        <v>30</v>
      </c>
    </row>
    <row r="11" spans="1:6" x14ac:dyDescent="0.3">
      <c r="A11">
        <v>10</v>
      </c>
      <c r="B11" t="s">
        <v>402</v>
      </c>
      <c r="E11" t="s">
        <v>402</v>
      </c>
      <c r="F11">
        <v>17</v>
      </c>
    </row>
    <row r="12" spans="1:6" x14ac:dyDescent="0.3">
      <c r="A12">
        <v>4</v>
      </c>
      <c r="B12" t="s">
        <v>420</v>
      </c>
      <c r="E12" t="s">
        <v>420</v>
      </c>
      <c r="F12">
        <v>64</v>
      </c>
    </row>
    <row r="13" spans="1:6" x14ac:dyDescent="0.3">
      <c r="A13">
        <v>5</v>
      </c>
      <c r="B13" t="s">
        <v>491</v>
      </c>
      <c r="E13" t="s">
        <v>491</v>
      </c>
      <c r="F13">
        <v>9</v>
      </c>
    </row>
  </sheetData>
  <sortState xmlns:xlrd2="http://schemas.microsoft.com/office/spreadsheetml/2017/richdata2" ref="E2:F13">
    <sortCondition ref="E2:E1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27AB1-8C0F-4349-B6A7-0DD57B989500}">
  <dimension ref="A1:F2"/>
  <sheetViews>
    <sheetView tabSelected="1" workbookViewId="0">
      <selection activeCell="D2" sqref="D2"/>
    </sheetView>
  </sheetViews>
  <sheetFormatPr defaultRowHeight="14.4" x14ac:dyDescent="0.3"/>
  <cols>
    <col min="1" max="1" width="18.44140625" bestFit="1" customWidth="1"/>
    <col min="2" max="2" width="18.21875" bestFit="1" customWidth="1"/>
    <col min="3" max="3" width="14" bestFit="1" customWidth="1"/>
    <col min="4" max="4" width="33.77734375" bestFit="1" customWidth="1"/>
    <col min="5" max="5" width="16.33203125" bestFit="1" customWidth="1"/>
    <col min="6" max="6" width="9.33203125" bestFit="1" customWidth="1"/>
  </cols>
  <sheetData>
    <row r="1" spans="1:6" x14ac:dyDescent="0.3">
      <c r="A1" t="s">
        <v>535</v>
      </c>
      <c r="B1" t="s">
        <v>536</v>
      </c>
      <c r="C1" t="s">
        <v>537</v>
      </c>
      <c r="D1" t="s">
        <v>538</v>
      </c>
      <c r="E1" t="s">
        <v>539</v>
      </c>
      <c r="F1" t="s">
        <v>540</v>
      </c>
    </row>
    <row r="2" spans="1:6" x14ac:dyDescent="0.3">
      <c r="A2" t="s">
        <v>541</v>
      </c>
      <c r="B2" t="s">
        <v>542</v>
      </c>
      <c r="C2" t="s">
        <v>543</v>
      </c>
      <c r="D2" t="s">
        <v>544</v>
      </c>
      <c r="E2" t="s">
        <v>191</v>
      </c>
      <c r="F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Analize</vt:lpstr>
      <vt:lpstr>Centili</vt:lpstr>
      <vt:lpstr>Cone</vt:lpstr>
      <vt:lpstr>Pošte</vt:lpstr>
      <vt:lpstr>Regije</vt:lpstr>
      <vt:lpstr>Uvod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Leskošek, Bojan</dc:creator>
  <cp:keywords/>
  <dc:description/>
  <cp:lastModifiedBy>Leskošek, Bojan</cp:lastModifiedBy>
  <cp:revision/>
  <dcterms:created xsi:type="dcterms:W3CDTF">2026-04-01T17:34:01Z</dcterms:created>
  <dcterms:modified xsi:type="dcterms:W3CDTF">2026-04-03T11:24:01Z</dcterms:modified>
  <cp:category/>
  <cp:contentStatus/>
</cp:coreProperties>
</file>